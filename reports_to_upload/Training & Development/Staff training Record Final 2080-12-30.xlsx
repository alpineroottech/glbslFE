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E:\From Documents Drive\Desktop backup 2076-08-05\Website\Reports\Training &amp; Development\"/>
    </mc:Choice>
  </mc:AlternateContent>
  <bookViews>
    <workbookView xWindow="0" yWindow="0" windowWidth="20490" windowHeight="7755" activeTab="6"/>
  </bookViews>
  <sheets>
    <sheet name="2074.75" sheetId="6" r:id="rId1"/>
    <sheet name="2075.76" sheetId="3" r:id="rId2"/>
    <sheet name="2076.77" sheetId="5" r:id="rId3"/>
    <sheet name="2077.78" sheetId="8" r:id="rId4"/>
    <sheet name="2078.79" sheetId="11" r:id="rId5"/>
    <sheet name="2079.80" sheetId="9" r:id="rId6"/>
    <sheet name="2079.80 Print" sheetId="12" r:id="rId7"/>
  </sheets>
  <calcPr calcId="152511"/>
</workbook>
</file>

<file path=xl/calcChain.xml><?xml version="1.0" encoding="utf-8"?>
<calcChain xmlns="http://schemas.openxmlformats.org/spreadsheetml/2006/main">
  <c r="J25" i="11" l="1"/>
  <c r="J18" i="8"/>
  <c r="J7" i="5"/>
  <c r="J19" i="5" s="1"/>
  <c r="J21" i="3"/>
  <c r="H5" i="6"/>
  <c r="H6" i="6" s="1"/>
  <c r="H7" i="6" s="1"/>
  <c r="H8" i="6" s="1"/>
  <c r="H9" i="6" s="1"/>
  <c r="H10" i="6" s="1"/>
  <c r="H11" i="6" s="1"/>
  <c r="H12" i="6" s="1"/>
  <c r="H13" i="6" s="1"/>
  <c r="H14" i="6" s="1"/>
</calcChain>
</file>

<file path=xl/sharedStrings.xml><?xml version="1.0" encoding="utf-8"?>
<sst xmlns="http://schemas.openxmlformats.org/spreadsheetml/2006/main" count="709" uniqueCount="291">
  <si>
    <t>u'/fF; n3'ljQ ljQLo ;+:yf ln=</t>
  </si>
  <si>
    <t>s]Gb|Lo sfof{no wgs'6f</t>
  </si>
  <si>
    <t>tflnd tyf uf]i7L ePsf] ljj/0f</t>
  </si>
  <si>
    <t>cf=j= @)&amp;%÷&amp;^</t>
  </si>
  <si>
    <t>qm=;=</t>
  </si>
  <si>
    <t>tflnd uf]i7Lsf] gfd</t>
  </si>
  <si>
    <t>;+rfng ePsf] ldlt</t>
  </si>
  <si>
    <t>b]lv</t>
  </si>
  <si>
    <t>;Dd</t>
  </si>
  <si>
    <t>:yfg</t>
  </si>
  <si>
    <t>:t/</t>
  </si>
  <si>
    <t>cfGtl/s</t>
  </si>
  <si>
    <t>afx\o</t>
  </si>
  <si>
    <t>)&amp;%÷)$÷@&amp;</t>
  </si>
  <si>
    <t>)&amp;%÷)$÷@*</t>
  </si>
  <si>
    <t>uf]s0f{ l/;f]6{ alnof, df]/ª</t>
  </si>
  <si>
    <t>!</t>
  </si>
  <si>
    <t>zfvf k|d'v</t>
  </si>
  <si>
    <t>cf/=Pd=l8=l;=</t>
  </si>
  <si>
    <t>–</t>
  </si>
  <si>
    <t>ljlQo ljZn]if0f tflnd</t>
  </si>
  <si>
    <t>aflif{s sfo{qmd ;ldIff tyf of]hgf sfof{Gjog tflnd</t>
  </si>
  <si>
    <t>)&amp;%÷)$÷)%</t>
  </si>
  <si>
    <t>)&amp;%÷)$÷)^</t>
  </si>
  <si>
    <t>xf]6n c+hnL wgs'6f</t>
  </si>
  <si>
    <t>;xefuL ;+Vof</t>
  </si>
  <si>
    <t>@</t>
  </si>
  <si>
    <t>#</t>
  </si>
  <si>
    <t>n3'ljQ Joj:yfkg tflnd</t>
  </si>
  <si>
    <t>)&amp;%÷)^÷)&amp;</t>
  </si>
  <si>
    <t>)&amp;%÷)^÷)*</t>
  </si>
  <si>
    <t>$</t>
  </si>
  <si>
    <t xml:space="preserve">n3'pBd nufgL tflnd </t>
  </si>
  <si>
    <t>)&amp;%÷)^÷!%</t>
  </si>
  <si>
    <t>)&amp;%÷)^÷!^</t>
  </si>
  <si>
    <t>sf7df08f}+</t>
  </si>
  <si>
    <t>ljefluo k|d'v</t>
  </si>
  <si>
    <t>km:6 dfO{qmf]kmfOgfG;</t>
  </si>
  <si>
    <t>%</t>
  </si>
  <si>
    <t>k|yd q}dfl;s ;ldIff uf]i7L</t>
  </si>
  <si>
    <t xml:space="preserve">xf]6n u+uf hd'gf, O6x/L </t>
  </si>
  <si>
    <t>)&amp;%÷)*÷!$</t>
  </si>
  <si>
    <t>)&amp;%÷)*÷!%</t>
  </si>
  <si>
    <t>zfvf k|d'v÷ljefluo k|d'vx?</t>
  </si>
  <si>
    <t>^</t>
  </si>
  <si>
    <t>sd{rf/L cled'lvs/0f tflnd</t>
  </si>
  <si>
    <t>)&amp;%÷)*÷@@</t>
  </si>
  <si>
    <t>s]=sf= wgs'6f</t>
  </si>
  <si>
    <t>!%</t>
  </si>
  <si>
    <t>;xfos sd{rf/L</t>
  </si>
  <si>
    <t>&amp;</t>
  </si>
  <si>
    <t>xf]6n z'esfdgf, b'nf/L</t>
  </si>
  <si>
    <t>*</t>
  </si>
  <si>
    <t>zfvf Joj:yfkg tflnd</t>
  </si>
  <si>
    <t>)&amp;%÷)(÷!*</t>
  </si>
  <si>
    <t>)&amp;%÷)*÷@)</t>
  </si>
  <si>
    <t>(</t>
  </si>
  <si>
    <t>cw{aflif{s ;ldIff uf]i7L</t>
  </si>
  <si>
    <t>)&amp;%÷!)÷!!</t>
  </si>
  <si>
    <t>)&amp;%÷)(÷!@</t>
  </si>
  <si>
    <t>!)</t>
  </si>
  <si>
    <t>)&amp;%÷!)÷!*</t>
  </si>
  <si>
    <t>!!</t>
  </si>
  <si>
    <t>)&amp;%÷!)÷@%</t>
  </si>
  <si>
    <t>)&amp;%÷!)÷@$</t>
  </si>
  <si>
    <t>efvf gf3]sf] shf{ Joj:yfkg</t>
  </si>
  <si>
    <t>)&amp;%÷!@÷@$</t>
  </si>
  <si>
    <t>)&amp;%÷!@÷@^</t>
  </si>
  <si>
    <t>l;=P;==l8</t>
  </si>
  <si>
    <t>tflnddf ePsf] vr{ ?=</t>
  </si>
  <si>
    <t>cf=j= @)&amp;^÷&amp;&amp;</t>
  </si>
  <si>
    <t>aflif{s ;ldIff tyf of]hgf sfof{Gjog tflnd</t>
  </si>
  <si>
    <t>)&amp;^÷)$÷@@</t>
  </si>
  <si>
    <t>)&amp;^÷)$÷@$</t>
  </si>
  <si>
    <t>xf]6n Dofh]l:6s, e]8]6f/</t>
  </si>
  <si>
    <t>sfof{no k|d'v</t>
  </si>
  <si>
    <t>k|lzIffly{x?sf] k|:t'lts/0f</t>
  </si>
  <si>
    <t>)&amp;^÷)*÷@*</t>
  </si>
  <si>
    <t>k|lzIffly{ sd{rf/L</t>
  </si>
  <si>
    <t>)&amp;^÷)(÷)$</t>
  </si>
  <si>
    <t>)&amp;^÷)(÷)(</t>
  </si>
  <si>
    <t>sd{rf/L tflndsf] ljj/0f</t>
  </si>
  <si>
    <t>tflnd ;+rfng ldlt</t>
  </si>
  <si>
    <t>tflndsf] gfd</t>
  </si>
  <si>
    <t xml:space="preserve">tflnddf efulng] ;xeflusf] gfd </t>
  </si>
  <si>
    <t>;+Vof</t>
  </si>
  <si>
    <t>hDdf ah]6</t>
  </si>
  <si>
    <t>hDdf vr{ ?=</t>
  </si>
  <si>
    <t>afFsL ah]6 ?=</t>
  </si>
  <si>
    <t>c=Nof=</t>
  </si>
  <si>
    <t>2074/4/6 -7</t>
  </si>
  <si>
    <t>;]jf k"j{ k|lzIf0f tflnd, wgs'6f .</t>
  </si>
  <si>
    <t>gofF k|lzIffyL{x?</t>
  </si>
  <si>
    <t>2074/7/10 -11</t>
  </si>
  <si>
    <t>shf{ Joj:yfkg tflnd, lj/f6gu/ .</t>
  </si>
  <si>
    <t>zfvf k|jGwsx?</t>
  </si>
  <si>
    <t>2074/8/13 -13</t>
  </si>
  <si>
    <t>ljQLo cled'lvs/0f, sf7df08f} .</t>
  </si>
  <si>
    <t>&gt;L lg/f]h kf}8]n</t>
  </si>
  <si>
    <t>2074/8/26 -26</t>
  </si>
  <si>
    <t>Contemporary issues of microfinance, KTM</t>
  </si>
  <si>
    <t>&gt;L s'ndl0f ltD;Lgf</t>
  </si>
  <si>
    <t>2074/8/28 -28</t>
  </si>
  <si>
    <t>g]kfn n3'ljQ a}+s{; ;+3, sf7df08f}+ .</t>
  </si>
  <si>
    <t>2074/8/29 -29</t>
  </si>
  <si>
    <t>shf{ tyf kz'wg ;'/If0f cGt{lqmof, lj/f6gu/ .</t>
  </si>
  <si>
    <t>&gt;L gu]Gb| ld&gt; / &gt;L ljgf]]b s'df/ e§/fO{</t>
  </si>
  <si>
    <t>2074/9/1 -2</t>
  </si>
  <si>
    <t>n3'ljQ zfvf Joj:yfkg tflnd, O6x/L .</t>
  </si>
  <si>
    <t xml:space="preserve">&gt;L Ps ljgf]b sf]O/fnf / lbk]Gb| zdf{ </t>
  </si>
  <si>
    <t>n3'ljQ Joj:yfkg tyf ;+rfng, wgs'6f .</t>
  </si>
  <si>
    <t>2074/9/19 -20</t>
  </si>
  <si>
    <t>n3'ljQ Joj:yfkg tflnd, ;'Gb/ x/}rf !!, df]/ª .</t>
  </si>
  <si>
    <t>&gt;L b'uf{/fh Gof}kfg] / ldgf ;fksf]6f .</t>
  </si>
  <si>
    <t>2074/10/13 -15</t>
  </si>
  <si>
    <t>zfvf Joj:yfkg tflnd, lj/f6gu/ .</t>
  </si>
  <si>
    <t>;a} zfvf k|d'vx? .</t>
  </si>
  <si>
    <t>2074/11/04 -05</t>
  </si>
  <si>
    <t xml:space="preserve">k'g{tfhuL tyf n3'ljQ Joj:yfkg tflnd, O6x/L . </t>
  </si>
  <si>
    <t>;xfos ;fyLx? .</t>
  </si>
  <si>
    <t>2074/12/26 -28</t>
  </si>
  <si>
    <t>k|lzIfs k|lzIf0f tflnd, O6x/L . - cf/=Pd=l8=;L=_</t>
  </si>
  <si>
    <t>&gt;L gu]Gb| ld&gt; .</t>
  </si>
  <si>
    <t>2075/02/03 -0</t>
  </si>
  <si>
    <t>zfvf Joj:yfkg tflnd, O6x/L . -km:6 dfO{qmf]kmfOgfG;_</t>
  </si>
  <si>
    <t>&gt;L vu]Gb| kf}8]n / &gt;L /fhg 9'+ufgf .</t>
  </si>
  <si>
    <t>2075/02/09 -10</t>
  </si>
  <si>
    <t>cfGtl/s n]vf kl/If0f tflnd . - cf/=Pd=l8=;L=_</t>
  </si>
  <si>
    <t>&gt;L l8NnL/fd kf]v|]n .</t>
  </si>
  <si>
    <t>dfl;s ;ldIff a}7s tyf shf{ ljZn]if0f tyf ;b'kof]lutf hfFr tflnd</t>
  </si>
  <si>
    <t>!#</t>
  </si>
  <si>
    <t>t];|f] q}dfl;s ;ldIff uf]i7L</t>
  </si>
  <si>
    <t>)&amp;^÷)!÷!$</t>
  </si>
  <si>
    <t>)&amp;^÷)!÷!%</t>
  </si>
  <si>
    <t xml:space="preserve">sd{rf/L vr{sf] # Ü </t>
  </si>
  <si>
    <t>s'n hDdf</t>
  </si>
  <si>
    <t>xf]6n ho g]kfn, O6x/L</t>
  </si>
  <si>
    <t>)&amp;%÷)*÷@(</t>
  </si>
  <si>
    <t>)&amp;%÷)(÷)!</t>
  </si>
  <si>
    <t xml:space="preserve">dfl;s ;ldIff a}7s </t>
  </si>
  <si>
    <t>n3'ljQdf lkmN8 ;xfos sd{rf/Lsf] e'ldsf</t>
  </si>
  <si>
    <t>)&amp;^÷)%÷!)</t>
  </si>
  <si>
    <t>sfof{nosf] xndf</t>
  </si>
  <si>
    <t>)&amp;^÷)^÷!@</t>
  </si>
  <si>
    <t xml:space="preserve">q}dfl;s ;ldIff a}7s </t>
  </si>
  <si>
    <t>)&amp;^÷)&amp;÷!*</t>
  </si>
  <si>
    <t>)&amp;^.!).!&amp;</t>
  </si>
  <si>
    <t>)&amp;^.!).!*</t>
  </si>
  <si>
    <t>xf]6n kflye/f O6x/L, df]/+u</t>
  </si>
  <si>
    <t>s0f{ jxfb'/ j:g]t</t>
  </si>
  <si>
    <t>jfx\o</t>
  </si>
  <si>
    <t>Financial Inclusion And Management In Microfinance</t>
  </si>
  <si>
    <t>sfo{qmd ;ldIff tyf n3'ljQ sfo{qmd Joj:yfkg tflnd</t>
  </si>
  <si>
    <t>)&amp;^÷!!÷)(</t>
  </si>
  <si>
    <t>)&amp;^÷!!÷!)</t>
  </si>
  <si>
    <t xml:space="preserve">k|lzIffly{x?sf] k|:t'lts/0f </t>
  </si>
  <si>
    <t>)&amp;^÷!)÷@^</t>
  </si>
  <si>
    <t>)&amp;^÷!)÷@&amp;</t>
  </si>
  <si>
    <t>)&amp;^÷!)÷!*</t>
  </si>
  <si>
    <t>O{nfsf sfof{nosf] xndf</t>
  </si>
  <si>
    <t>)&amp;^÷!@÷)&amp;</t>
  </si>
  <si>
    <t>Pd 6L</t>
  </si>
  <si>
    <t xml:space="preserve"> Joj:yfkg k|lzIffly{x?sf] k|:t'lts/0f tflnd</t>
  </si>
  <si>
    <t>cf=j= @)&amp;&amp;÷&amp;*</t>
  </si>
  <si>
    <t>)&amp;&amp;÷)$÷)(</t>
  </si>
  <si>
    <t>s]lGb|o sfof{nosf] xndf</t>
  </si>
  <si>
    <t>)&amp;&amp;÷)$÷!!</t>
  </si>
  <si>
    <t xml:space="preserve">rf}dfl;s ;ldIff a}7s </t>
  </si>
  <si>
    <t>)&amp;&amp;÷)*÷)$</t>
  </si>
  <si>
    <t>)&amp;&amp;÷)*÷)&amp;</t>
  </si>
  <si>
    <t>k|lzIffly{x?sf] k|:t'lts/0f tyf n3"ljQ Joj:yfkg tflnd</t>
  </si>
  <si>
    <t>)&amp;&amp;÷)*÷@*</t>
  </si>
  <si>
    <t>)&amp;&amp;÷)*÷@(</t>
  </si>
  <si>
    <t>cw{aflif{s sfo{s|d ;ldIff uf]i7L</t>
  </si>
  <si>
    <t>)&amp;&amp;÷!)÷!)</t>
  </si>
  <si>
    <t>)&amp;&amp;÷!)÷!!</t>
  </si>
  <si>
    <t>n3"ljQ ljQLo ;:yfsf] k|efjsf/L zfvf Joj:yfkg tflnd -lty{ /Tg sf]gfh'_</t>
  </si>
  <si>
    <t>)&amp;&amp;÷!)÷!@</t>
  </si>
  <si>
    <t xml:space="preserve">sfof{no k|d'v </t>
  </si>
  <si>
    <t>Comprehenisive Training on NFRS Online</t>
  </si>
  <si>
    <t>)&amp;&amp;÷!)÷!^</t>
  </si>
  <si>
    <t>)&amp;&amp;÷!)÷!(</t>
  </si>
  <si>
    <t xml:space="preserve">s]lGb|o sfof{nosf] xndf </t>
  </si>
  <si>
    <t>lg/f]h ;/ / czf]s ;/</t>
  </si>
  <si>
    <t>;]jf k|j]z k'j{ tflnd</t>
  </si>
  <si>
    <t>)&amp;&amp;÷!!÷@!</t>
  </si>
  <si>
    <t>MF\AML\CFT And Corporate Governance For BODS Online</t>
  </si>
  <si>
    <t>)&amp;&amp;÷!@÷!&amp;</t>
  </si>
  <si>
    <t>/fh' ;/</t>
  </si>
  <si>
    <t>NFRS Online Training</t>
  </si>
  <si>
    <t>)&amp;*÷)@÷@*</t>
  </si>
  <si>
    <t>)&amp;*÷)@÷#!</t>
  </si>
  <si>
    <t xml:space="preserve">lg/f]h ;/  </t>
  </si>
  <si>
    <t>hDdf</t>
  </si>
  <si>
    <t>O{nfsf bds</t>
  </si>
  <si>
    <t>O{nfsf wgs'6f</t>
  </si>
  <si>
    <t>AML/CFT-KYC</t>
  </si>
  <si>
    <t>Hotel Pathibhara Intenational, Ithari</t>
  </si>
  <si>
    <t>skf]{/]6 sd{rf/L</t>
  </si>
  <si>
    <t>q}dfl;s sd{rf/L a}7s b'nf/L O{nfsf</t>
  </si>
  <si>
    <t>q}dfl;s sd{rf/L a}7s bds O{nfsf</t>
  </si>
  <si>
    <t>skf]{/]6 sfof{no</t>
  </si>
  <si>
    <t>gofF sd{rf/L</t>
  </si>
  <si>
    <t>q}dfl;s sd{rf/L a}7s hf]/kf]v/L O{nfsf</t>
  </si>
  <si>
    <t>O{nfsf hf]/kf]v/L</t>
  </si>
  <si>
    <t>q}dfl;s sd{rf/L a}7s wgs'6f O{nfsf</t>
  </si>
  <si>
    <t>k|lzIffly{x?sf] k|:t'lts/0f tflnd</t>
  </si>
  <si>
    <t>xf]6n O{i6{g O{:6f/ , la/f6gu/</t>
  </si>
  <si>
    <t>lzj s'df/ &gt;]i7</t>
  </si>
  <si>
    <t>cw{jflif{s ;ldIff a}7s tyf zfvf k|d'vsf] Ifdtf clea[4L tflnd -8Da/ axfb'/ e08f/L / /Ghg vgfn_</t>
  </si>
  <si>
    <t>k|d'v sfof{sf/L clws[tx?sf] uf]i7L</t>
  </si>
  <si>
    <t>Landmark Forest Resort, Sauraha, Chitwan</t>
  </si>
  <si>
    <t>k|d'v sfof{sf/L clws[t</t>
  </si>
  <si>
    <r>
      <t xml:space="preserve">ul/aL dfkg ljlw </t>
    </r>
    <r>
      <rPr>
        <sz val="11"/>
        <rFont val="Calibri"/>
        <family val="2"/>
        <scheme val="minor"/>
      </rPr>
      <t>PPI</t>
    </r>
  </si>
  <si>
    <t>q}dfl;s sd{rf/L a}7s tyf )*).*! sf] sfo{qmd tyf th'{df a{7s wgs'6f O{nfsf</t>
  </si>
  <si>
    <t>xf]6n cfo'zf, wgs'6f</t>
  </si>
  <si>
    <t>q}dfl;s sd{rf/L a}7s tyf )*).*! sf] sfo{qmd tyf th'{df a}7s bds O{nfsf</t>
  </si>
  <si>
    <t>j8fF sfof{no bds</t>
  </si>
  <si>
    <t>q}dfl;s sd{rf/L a}7s tyf )*).*! sf] sfo{qmd tyf th'{df a}7s b'nf/L O{nfsf</t>
  </si>
  <si>
    <t>k|ltiff xf]6n PG8 nh hf]/kf]v/L</t>
  </si>
  <si>
    <t>q}dfl;s sd{rf/L a}7s tyf )*).*! sf] sfo{qmd tyf th'{df a}7s hf]/kf]v/L O{nfsf</t>
  </si>
  <si>
    <t xml:space="preserve">CIB Training </t>
  </si>
  <si>
    <t>)&amp;*÷)$÷)(</t>
  </si>
  <si>
    <t>Online</t>
  </si>
  <si>
    <t>;Dk'0f{ sd{rf/L</t>
  </si>
  <si>
    <t>Employee Engagement And Motivation Training  (Dr Sandeshdash Shrestha)</t>
  </si>
  <si>
    <t>)&amp;*÷)%÷)#</t>
  </si>
  <si>
    <t>)&amp;*÷)%÷)%</t>
  </si>
  <si>
    <t>xf]6n O{G6'l/i6 O6xl/</t>
  </si>
  <si>
    <t>k|lzIffyL{ ;xfos sd{rf/Lx?sf] k|:t'lts/0f</t>
  </si>
  <si>
    <t>)&amp;*÷)%÷!@</t>
  </si>
  <si>
    <t>k|lzIffyL{ ;xfos</t>
  </si>
  <si>
    <t>)&amp;*÷)%÷!#</t>
  </si>
  <si>
    <t>)&amp;*÷)%÷!$</t>
  </si>
  <si>
    <t>q}dfl;s sd{rf/L a}7s</t>
  </si>
  <si>
    <t>)&amp;*÷)&amp;÷)^</t>
  </si>
  <si>
    <t>)&amp;*÷)&amp;÷)&amp;</t>
  </si>
  <si>
    <t>k|yd q}dfl;s ;ldIff a}7s</t>
  </si>
  <si>
    <t>)&amp;*÷)&amp;÷!)</t>
  </si>
  <si>
    <t>O{nfsf b'nf/L</t>
  </si>
  <si>
    <t>)&amp;*÷)(÷)!</t>
  </si>
  <si>
    <t>)&amp;*÷)(÷)#</t>
  </si>
  <si>
    <t>xf]6n :jfutd, la/f6gu/</t>
  </si>
  <si>
    <t>;xfos :t/</t>
  </si>
  <si>
    <t>cw{ jflif{s ;ldIff a}7s</t>
  </si>
  <si>
    <t>)&amp;*÷!!÷!*</t>
  </si>
  <si>
    <t>)&amp;*÷!!÷@@</t>
  </si>
  <si>
    <t>)&amp;*÷!!÷#)</t>
  </si>
  <si>
    <t>g]kfn n3'ljQ a}{s;{ ;3+sf] uf]i7L</t>
  </si>
  <si>
    <t>)&amp;*÷!@÷)%</t>
  </si>
  <si>
    <t>)&amp;*÷!@÷)^</t>
  </si>
  <si>
    <t>xf]6n kf]v/f</t>
  </si>
  <si>
    <t>l;=O{=cf]=</t>
  </si>
  <si>
    <t>k|:t'lts/0f tyf n3'ljQ JojZyfkg tflnd</t>
  </si>
  <si>
    <t>)&amp;(÷)!÷)#</t>
  </si>
  <si>
    <t>)&amp;(÷)!÷)$</t>
  </si>
  <si>
    <t>Go' z'esfdgf xf]6n P08 nh</t>
  </si>
  <si>
    <t>t];|f] q}dfl;s ;ldIff tyf cf=j= @)&amp;(.)*) sf] ah]6 th'{df uf]i7L</t>
  </si>
  <si>
    <t>)&amp;(÷)!÷!%</t>
  </si>
  <si>
    <t>)&amp;(÷)!÷!&amp;</t>
  </si>
  <si>
    <t>s[lif ljsf; a}+s tflnd s]Gb| n]6fª</t>
  </si>
  <si>
    <t>Nepal Financial Reporting Standard NFRS</t>
  </si>
  <si>
    <t>)&amp;(÷)@÷!^</t>
  </si>
  <si>
    <t>)&amp;(÷)@÷!*</t>
  </si>
  <si>
    <t>xf]6n p8Nof08 sf7df08f}</t>
  </si>
  <si>
    <t>lg/f]h kf}8]n</t>
  </si>
  <si>
    <t>)&amp;(÷)@÷#!</t>
  </si>
  <si>
    <t>bds )&amp; sf] j8f sfof{no</t>
  </si>
  <si>
    <t>)&amp;(÷)#÷!)</t>
  </si>
  <si>
    <t>cf=j= @)&amp;*÷&amp;(</t>
  </si>
  <si>
    <t>tflnd ;+rfng</t>
  </si>
  <si>
    <t>zfvf k|d'vx?</t>
  </si>
  <si>
    <t>@)&amp;(÷)%÷)$</t>
  </si>
  <si>
    <t>@)&amp;(÷)&amp;÷!&amp;</t>
  </si>
  <si>
    <t>@)&amp;(÷)&amp;÷#)</t>
  </si>
  <si>
    <t>@)&amp;(÷)&amp;÷@%</t>
  </si>
  <si>
    <t>@)&amp;(÷)&amp;÷@*</t>
  </si>
  <si>
    <t>@)&amp;(÷)&amp;÷@&amp;</t>
  </si>
  <si>
    <t>@)&amp;(÷)(÷)!</t>
  </si>
  <si>
    <t>@)&amp;(÷!)÷)#</t>
  </si>
  <si>
    <t>@)&amp;(÷!)÷@!</t>
  </si>
  <si>
    <t>@)&amp;(÷!!÷@%</t>
  </si>
  <si>
    <t>@)*)÷)!÷!*</t>
  </si>
  <si>
    <t>@)*)÷)!÷@)</t>
  </si>
  <si>
    <t>@)*)÷)!÷!(</t>
  </si>
  <si>
    <t>@)*)÷)!÷@!</t>
  </si>
  <si>
    <t>@)&amp;(÷!)÷)%</t>
  </si>
  <si>
    <t>@)&amp;(÷!)÷@#</t>
  </si>
  <si>
    <t>@)&amp;(÷!!÷@&amp;</t>
  </si>
  <si>
    <t>cf=j= @)&amp;(÷)*) df ePsf tflnd tyf uf]i7Ldf ;xefuLx?sf] ljj/0f</t>
  </si>
  <si>
    <r>
      <t xml:space="preserve">ul/aL dfkg ljlw </t>
    </r>
    <r>
      <rPr>
        <b/>
        <sz val="11"/>
        <rFont val="Calibri"/>
        <family val="2"/>
        <scheme val="minor"/>
      </rPr>
      <t>PPI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</si>
</sst>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1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sz val="16"/>
      <name val="Preeti"/>
    </font>
    <font>
      <sz val="12"/>
      <name val="Fontasy Himali"/>
      <family val="5"/>
    </font>
    <font>
      <sz val="10"/>
      <name val="Fontasy Himali"/>
      <family val="5"/>
    </font>
    <font>
      <sz val="14"/>
      <name val="Preeti"/>
    </font>
    <font>
      <sz val="14"/>
      <name val="Fontasy Himali"/>
      <family val="5"/>
    </font>
    <font>
      <sz val="10"/>
      <name val="FONTASY_HIMALI_TT"/>
      <family val="5"/>
    </font>
    <font>
      <sz val="14"/>
      <name val="Niagara Engraved"/>
      <family val="5"/>
    </font>
    <font>
      <b/>
      <sz val="16"/>
      <name val="Preeti"/>
    </font>
    <font>
      <sz val="12"/>
      <name val="Preeti"/>
    </font>
    <font>
      <b/>
      <sz val="14"/>
      <name val="Fontasy Himali"/>
      <family val="5"/>
    </font>
    <font>
      <u/>
      <sz val="10"/>
      <color theme="10"/>
      <name val="Arial"/>
      <family val="2"/>
    </font>
    <font>
      <sz val="11"/>
      <color theme="1"/>
      <name val="Preeti"/>
    </font>
    <font>
      <sz val="14"/>
      <color theme="1"/>
      <name val="Preeti"/>
    </font>
    <font>
      <sz val="11"/>
      <color theme="1"/>
      <name val="Fontasy Himali"/>
      <family val="5"/>
    </font>
    <font>
      <sz val="10"/>
      <color theme="1"/>
      <name val="Fontasy Himali"/>
      <family val="5"/>
    </font>
    <font>
      <sz val="11"/>
      <color theme="1"/>
      <name val="Arial"/>
      <family val="2"/>
    </font>
    <font>
      <sz val="16"/>
      <color theme="1"/>
      <name val="Preeti"/>
    </font>
    <font>
      <sz val="11"/>
      <name val="Arial"/>
      <family val="2"/>
    </font>
    <font>
      <sz val="11"/>
      <name val="Preeti"/>
    </font>
    <font>
      <sz val="11"/>
      <name val="Fontasy Himali"/>
      <family val="5"/>
    </font>
    <font>
      <sz val="11"/>
      <name val="Calibri"/>
      <family val="2"/>
      <scheme val="minor"/>
    </font>
    <font>
      <b/>
      <sz val="18"/>
      <name val="Preeti"/>
    </font>
    <font>
      <b/>
      <sz val="14"/>
      <name val="Preeti"/>
    </font>
    <font>
      <sz val="9"/>
      <name val="Arial"/>
      <family val="2"/>
    </font>
    <font>
      <b/>
      <sz val="12"/>
      <name val="Fontasy Himali"/>
      <family val="5"/>
    </font>
    <font>
      <sz val="12"/>
      <name val="Arial"/>
      <family val="2"/>
    </font>
    <font>
      <sz val="11"/>
      <name val="Arial Narrow"/>
      <family val="2"/>
    </font>
    <font>
      <b/>
      <sz val="16"/>
      <name val="001 ARAP"/>
    </font>
    <font>
      <b/>
      <sz val="13"/>
      <name val="001 ARAP"/>
    </font>
    <font>
      <sz val="13"/>
      <name val="001 ARAP"/>
    </font>
    <font>
      <b/>
      <sz val="20"/>
      <name val="001 ARAP"/>
    </font>
    <font>
      <b/>
      <sz val="26"/>
      <name val="001 ARAP"/>
    </font>
    <font>
      <b/>
      <sz val="10"/>
      <name val="FONTASY_HIMALI_TT"/>
      <family val="5"/>
    </font>
    <font>
      <b/>
      <sz val="9"/>
      <name val="Arial"/>
      <family val="2"/>
    </font>
    <font>
      <b/>
      <sz val="11"/>
      <name val="Preeti"/>
    </font>
    <font>
      <b/>
      <sz val="11"/>
      <name val="Fontasy Himali"/>
      <family val="5"/>
    </font>
    <font>
      <b/>
      <sz val="11"/>
      <name val="Arial"/>
      <family val="2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0" fontId="13" fillId="0" borderId="0" applyNumberFormat="0" applyFill="0" applyBorder="0" applyAlignment="0" applyProtection="0"/>
    <xf numFmtId="0" fontId="2" fillId="0" borderId="0"/>
  </cellStyleXfs>
  <cellXfs count="148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" fillId="0" borderId="2" xfId="1" applyFont="1" applyBorder="1" applyAlignment="1">
      <alignment horizontal="center"/>
    </xf>
    <xf numFmtId="0" fontId="3" fillId="0" borderId="2" xfId="0" applyFont="1" applyBorder="1" applyAlignment="1">
      <alignment wrapText="1"/>
    </xf>
    <xf numFmtId="0" fontId="5" fillId="0" borderId="1" xfId="0" applyFont="1" applyBorder="1"/>
    <xf numFmtId="0" fontId="5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14" fillId="0" borderId="0" xfId="0" applyFont="1"/>
    <xf numFmtId="0" fontId="15" fillId="0" borderId="3" xfId="0" applyFont="1" applyBorder="1"/>
    <xf numFmtId="0" fontId="15" fillId="0" borderId="4" xfId="0" applyFont="1" applyBorder="1"/>
    <xf numFmtId="0" fontId="15" fillId="0" borderId="4" xfId="0" applyFont="1" applyBorder="1" applyAlignment="1">
      <alignment horizontal="center"/>
    </xf>
    <xf numFmtId="0" fontId="15" fillId="0" borderId="5" xfId="0" applyFont="1" applyBorder="1"/>
    <xf numFmtId="0" fontId="15" fillId="0" borderId="6" xfId="0" applyFont="1" applyBorder="1"/>
    <xf numFmtId="0" fontId="15" fillId="0" borderId="7" xfId="0" applyFont="1" applyBorder="1"/>
    <xf numFmtId="0" fontId="15" fillId="0" borderId="8" xfId="0" applyFont="1" applyBorder="1"/>
    <xf numFmtId="0" fontId="15" fillId="0" borderId="2" xfId="0" applyFont="1" applyBorder="1"/>
    <xf numFmtId="0" fontId="15" fillId="0" borderId="2" xfId="0" applyFont="1" applyBorder="1" applyAlignment="1">
      <alignment horizontal="center"/>
    </xf>
    <xf numFmtId="0" fontId="15" fillId="0" borderId="9" xfId="0" applyFont="1" applyBorder="1"/>
    <xf numFmtId="0" fontId="16" fillId="0" borderId="10" xfId="0" applyFont="1" applyBorder="1"/>
    <xf numFmtId="0" fontId="17" fillId="0" borderId="11" xfId="0" applyFont="1" applyBorder="1"/>
    <xf numFmtId="0" fontId="17" fillId="0" borderId="12" xfId="0" applyFont="1" applyBorder="1"/>
    <xf numFmtId="0" fontId="14" fillId="0" borderId="1" xfId="0" applyFont="1" applyBorder="1"/>
    <xf numFmtId="0" fontId="16" fillId="0" borderId="1" xfId="0" applyFont="1" applyBorder="1" applyAlignment="1">
      <alignment horizontal="center"/>
    </xf>
    <xf numFmtId="0" fontId="16" fillId="0" borderId="13" xfId="0" applyFont="1" applyBorder="1"/>
    <xf numFmtId="0" fontId="16" fillId="0" borderId="13" xfId="0" applyFont="1" applyBorder="1" applyAlignment="1">
      <alignment horizontal="right"/>
    </xf>
    <xf numFmtId="0" fontId="16" fillId="0" borderId="14" xfId="0" applyFont="1" applyBorder="1"/>
    <xf numFmtId="0" fontId="17" fillId="0" borderId="12" xfId="0" applyFont="1" applyBorder="1"/>
    <xf numFmtId="0" fontId="18" fillId="0" borderId="1" xfId="0" applyFont="1" applyBorder="1"/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/>
    </xf>
    <xf numFmtId="0" fontId="7" fillId="0" borderId="2" xfId="1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15" xfId="0" applyFont="1" applyBorder="1" applyAlignment="1">
      <alignment wrapText="1"/>
    </xf>
    <xf numFmtId="0" fontId="6" fillId="0" borderId="0" xfId="0" applyFont="1"/>
    <xf numFmtId="0" fontId="7" fillId="0" borderId="0" xfId="0" applyFont="1"/>
    <xf numFmtId="0" fontId="6" fillId="0" borderId="2" xfId="0" applyFont="1" applyBorder="1" applyAlignment="1">
      <alignment horizontal="left" wrapText="1"/>
    </xf>
    <xf numFmtId="0" fontId="8" fillId="0" borderId="2" xfId="0" applyFont="1" applyBorder="1" applyAlignment="1">
      <alignment horizontal="center"/>
    </xf>
    <xf numFmtId="0" fontId="9" fillId="0" borderId="2" xfId="0" applyFont="1" applyBorder="1" applyAlignment="1">
      <alignment horizontal="left" wrapText="1"/>
    </xf>
    <xf numFmtId="0" fontId="10" fillId="0" borderId="1" xfId="0" applyFont="1" applyBorder="1"/>
    <xf numFmtId="0" fontId="10" fillId="0" borderId="1" xfId="2" applyFont="1" applyBorder="1"/>
    <xf numFmtId="0" fontId="8" fillId="0" borderId="2" xfId="2" applyFont="1" applyBorder="1" applyAlignment="1">
      <alignment horizontal="center"/>
    </xf>
    <xf numFmtId="0" fontId="6" fillId="0" borderId="2" xfId="2" applyFont="1" applyBorder="1" applyAlignment="1">
      <alignment horizontal="left" vertical="center" wrapText="1"/>
    </xf>
    <xf numFmtId="0" fontId="6" fillId="0" borderId="1" xfId="2" applyFont="1" applyBorder="1"/>
    <xf numFmtId="0" fontId="6" fillId="0" borderId="2" xfId="2" applyFont="1" applyBorder="1" applyAlignment="1">
      <alignment horizontal="left"/>
    </xf>
    <xf numFmtId="0" fontId="5" fillId="0" borderId="2" xfId="2" applyFont="1" applyBorder="1" applyAlignment="1">
      <alignment horizontal="center"/>
    </xf>
    <xf numFmtId="0" fontId="6" fillId="0" borderId="2" xfId="2" applyFont="1" applyBorder="1" applyAlignment="1">
      <alignment horizontal="center"/>
    </xf>
    <xf numFmtId="0" fontId="5" fillId="0" borderId="1" xfId="2" applyFont="1" applyBorder="1"/>
    <xf numFmtId="0" fontId="5" fillId="0" borderId="1" xfId="2" applyFont="1" applyBorder="1" applyAlignment="1">
      <alignment horizontal="center"/>
    </xf>
    <xf numFmtId="0" fontId="11" fillId="0" borderId="2" xfId="2" applyFont="1" applyBorder="1" applyAlignment="1">
      <alignment horizontal="left" wrapText="1"/>
    </xf>
    <xf numFmtId="0" fontId="9" fillId="0" borderId="2" xfId="2" applyFont="1" applyBorder="1" applyAlignment="1">
      <alignment horizontal="left" wrapText="1"/>
    </xf>
    <xf numFmtId="0" fontId="12" fillId="0" borderId="1" xfId="2" applyFont="1" applyBorder="1"/>
    <xf numFmtId="0" fontId="2" fillId="0" borderId="0" xfId="2"/>
    <xf numFmtId="0" fontId="6" fillId="0" borderId="1" xfId="2" applyFont="1" applyBorder="1" applyAlignment="1">
      <alignment horizontal="center"/>
    </xf>
    <xf numFmtId="0" fontId="5" fillId="0" borderId="0" xfId="0" applyFont="1"/>
    <xf numFmtId="0" fontId="8" fillId="0" borderId="1" xfId="2" applyFont="1" applyBorder="1" applyAlignment="1">
      <alignment horizontal="center"/>
    </xf>
    <xf numFmtId="0" fontId="0" fillId="0" borderId="1" xfId="0" applyBorder="1"/>
    <xf numFmtId="0" fontId="25" fillId="0" borderId="1" xfId="2" applyFont="1" applyBorder="1"/>
    <xf numFmtId="0" fontId="26" fillId="0" borderId="1" xfId="2" applyFont="1" applyBorder="1" applyAlignment="1">
      <alignment horizontal="left" vertical="center" wrapText="1"/>
    </xf>
    <xf numFmtId="0" fontId="11" fillId="0" borderId="1" xfId="2" applyFont="1" applyBorder="1"/>
    <xf numFmtId="0" fontId="27" fillId="0" borderId="1" xfId="2" applyFont="1" applyBorder="1"/>
    <xf numFmtId="0" fontId="28" fillId="0" borderId="1" xfId="2" applyFont="1" applyBorder="1" applyAlignment="1">
      <alignment horizontal="left" vertical="center" wrapText="1"/>
    </xf>
    <xf numFmtId="0" fontId="4" fillId="0" borderId="1" xfId="2" applyFont="1" applyBorder="1" applyAlignment="1">
      <alignment horizontal="center"/>
    </xf>
    <xf numFmtId="0" fontId="11" fillId="0" borderId="1" xfId="2" applyFont="1" applyBorder="1" applyAlignment="1">
      <alignment horizontal="center"/>
    </xf>
    <xf numFmtId="0" fontId="27" fillId="0" borderId="1" xfId="2" applyFont="1" applyBorder="1" applyAlignment="1">
      <alignment horizontal="center"/>
    </xf>
    <xf numFmtId="0" fontId="11" fillId="0" borderId="1" xfId="2" applyFont="1" applyBorder="1" applyAlignment="1">
      <alignment horizontal="left"/>
    </xf>
    <xf numFmtId="0" fontId="11" fillId="0" borderId="1" xfId="2" applyFont="1" applyBorder="1" applyAlignment="1">
      <alignment horizontal="left" vertical="center" wrapText="1"/>
    </xf>
    <xf numFmtId="0" fontId="5" fillId="0" borderId="1" xfId="2" applyFont="1" applyFill="1" applyBorder="1"/>
    <xf numFmtId="0" fontId="4" fillId="0" borderId="1" xfId="2" applyFont="1" applyFill="1" applyBorder="1" applyAlignment="1">
      <alignment horizontal="center"/>
    </xf>
    <xf numFmtId="0" fontId="29" fillId="0" borderId="1" xfId="2" applyFont="1" applyFill="1" applyBorder="1"/>
    <xf numFmtId="0" fontId="11" fillId="0" borderId="1" xfId="2" applyFont="1" applyFill="1" applyBorder="1" applyAlignment="1">
      <alignment horizontal="left"/>
    </xf>
    <xf numFmtId="0" fontId="11" fillId="0" borderId="1" xfId="2" applyFont="1" applyFill="1" applyBorder="1" applyAlignment="1">
      <alignment horizontal="center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2" fillId="0" borderId="0" xfId="2" applyAlignment="1">
      <alignment vertical="center"/>
    </xf>
    <xf numFmtId="0" fontId="32" fillId="0" borderId="0" xfId="0" applyFont="1" applyAlignment="1">
      <alignment vertical="center"/>
    </xf>
    <xf numFmtId="0" fontId="32" fillId="0" borderId="0" xfId="0" applyFont="1" applyAlignment="1">
      <alignment horizontal="center" vertical="center"/>
    </xf>
    <xf numFmtId="0" fontId="31" fillId="2" borderId="19" xfId="2" applyFont="1" applyFill="1" applyBorder="1" applyAlignment="1">
      <alignment horizontal="center" vertical="center"/>
    </xf>
    <xf numFmtId="0" fontId="8" fillId="0" borderId="19" xfId="2" applyFont="1" applyBorder="1" applyAlignment="1">
      <alignment horizontal="center" vertical="center"/>
    </xf>
    <xf numFmtId="0" fontId="26" fillId="0" borderId="19" xfId="2" applyFont="1" applyBorder="1" applyAlignment="1">
      <alignment horizontal="left" vertical="center" wrapText="1"/>
    </xf>
    <xf numFmtId="49" fontId="21" fillId="0" borderId="19" xfId="2" applyNumberFormat="1" applyFont="1" applyBorder="1" applyAlignment="1">
      <alignment vertical="center"/>
    </xf>
    <xf numFmtId="0" fontId="22" fillId="0" borderId="19" xfId="2" applyFont="1" applyBorder="1" applyAlignment="1">
      <alignment horizontal="center" vertical="center"/>
    </xf>
    <xf numFmtId="0" fontId="21" fillId="0" borderId="19" xfId="2" applyFont="1" applyBorder="1" applyAlignment="1">
      <alignment horizontal="left" vertical="center"/>
    </xf>
    <xf numFmtId="0" fontId="21" fillId="0" borderId="19" xfId="2" applyFont="1" applyBorder="1" applyAlignment="1">
      <alignment horizontal="center" vertical="center"/>
    </xf>
    <xf numFmtId="0" fontId="22" fillId="0" borderId="19" xfId="2" applyFont="1" applyBorder="1" applyAlignment="1">
      <alignment vertical="center"/>
    </xf>
    <xf numFmtId="0" fontId="21" fillId="0" borderId="19" xfId="0" applyFont="1" applyBorder="1" applyAlignment="1">
      <alignment horizontal="left" vertical="center"/>
    </xf>
    <xf numFmtId="0" fontId="20" fillId="0" borderId="19" xfId="0" applyFont="1" applyBorder="1" applyAlignment="1">
      <alignment vertical="center"/>
    </xf>
    <xf numFmtId="0" fontId="21" fillId="0" borderId="19" xfId="2" applyFont="1" applyBorder="1" applyAlignment="1">
      <alignment vertical="center"/>
    </xf>
    <xf numFmtId="0" fontId="22" fillId="0" borderId="19" xfId="2" applyFont="1" applyFill="1" applyBorder="1" applyAlignment="1">
      <alignment vertical="center"/>
    </xf>
    <xf numFmtId="0" fontId="22" fillId="0" borderId="19" xfId="2" applyFont="1" applyFill="1" applyBorder="1" applyAlignment="1">
      <alignment horizontal="center" vertical="center"/>
    </xf>
    <xf numFmtId="0" fontId="21" fillId="0" borderId="19" xfId="0" applyFont="1" applyBorder="1" applyAlignment="1">
      <alignment horizontal="left" vertical="center" wrapText="1"/>
    </xf>
    <xf numFmtId="0" fontId="21" fillId="0" borderId="19" xfId="2" applyFont="1" applyBorder="1" applyAlignment="1">
      <alignment horizontal="left" vertical="center" wrapText="1"/>
    </xf>
    <xf numFmtId="0" fontId="35" fillId="0" borderId="19" xfId="2" applyFont="1" applyBorder="1" applyAlignment="1">
      <alignment horizontal="center" vertical="center"/>
    </xf>
    <xf numFmtId="0" fontId="38" fillId="0" borderId="19" xfId="2" applyFont="1" applyBorder="1" applyAlignment="1">
      <alignment horizontal="center" vertical="center"/>
    </xf>
    <xf numFmtId="0" fontId="37" fillId="0" borderId="19" xfId="2" applyFont="1" applyBorder="1" applyAlignment="1">
      <alignment horizontal="center" vertical="center"/>
    </xf>
    <xf numFmtId="0" fontId="39" fillId="0" borderId="19" xfId="0" applyFont="1" applyBorder="1" applyAlignment="1">
      <alignment vertical="center"/>
    </xf>
    <xf numFmtId="0" fontId="38" fillId="0" borderId="19" xfId="2" applyFont="1" applyFill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19" fillId="0" borderId="16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7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17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15" xfId="0" applyFont="1" applyBorder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0" fontId="10" fillId="0" borderId="15" xfId="2" applyFont="1" applyBorder="1" applyAlignment="1">
      <alignment horizontal="center"/>
    </xf>
    <xf numFmtId="0" fontId="10" fillId="0" borderId="2" xfId="2" applyFont="1" applyBorder="1" applyAlignment="1">
      <alignment horizontal="center"/>
    </xf>
    <xf numFmtId="0" fontId="10" fillId="0" borderId="15" xfId="2" applyFont="1" applyBorder="1" applyAlignment="1">
      <alignment horizontal="center" wrapText="1"/>
    </xf>
    <xf numFmtId="0" fontId="10" fillId="0" borderId="2" xfId="2" applyFont="1" applyBorder="1" applyAlignment="1">
      <alignment horizontal="center" wrapText="1"/>
    </xf>
    <xf numFmtId="0" fontId="10" fillId="0" borderId="13" xfId="2" applyFont="1" applyBorder="1" applyAlignment="1">
      <alignment horizontal="center" wrapText="1"/>
    </xf>
    <xf numFmtId="0" fontId="10" fillId="0" borderId="18" xfId="2" applyFont="1" applyBorder="1" applyAlignment="1">
      <alignment horizontal="center" wrapText="1"/>
    </xf>
    <xf numFmtId="0" fontId="10" fillId="0" borderId="12" xfId="2" applyFont="1" applyBorder="1" applyAlignment="1">
      <alignment horizontal="center" wrapText="1"/>
    </xf>
    <xf numFmtId="0" fontId="6" fillId="0" borderId="0" xfId="2" applyFont="1" applyAlignment="1">
      <alignment horizontal="center"/>
    </xf>
    <xf numFmtId="0" fontId="6" fillId="0" borderId="17" xfId="2" applyFont="1" applyBorder="1" applyAlignment="1">
      <alignment horizontal="center"/>
    </xf>
    <xf numFmtId="0" fontId="10" fillId="0" borderId="13" xfId="2" applyFont="1" applyBorder="1" applyAlignment="1">
      <alignment horizontal="center"/>
    </xf>
    <xf numFmtId="0" fontId="10" fillId="0" borderId="12" xfId="2" applyFont="1" applyBorder="1" applyAlignment="1">
      <alignment horizontal="center"/>
    </xf>
    <xf numFmtId="0" fontId="25" fillId="0" borderId="15" xfId="2" applyFont="1" applyBorder="1" applyAlignment="1">
      <alignment horizontal="center"/>
    </xf>
    <xf numFmtId="0" fontId="25" fillId="0" borderId="2" xfId="2" applyFont="1" applyBorder="1" applyAlignment="1">
      <alignment horizontal="center"/>
    </xf>
    <xf numFmtId="0" fontId="25" fillId="0" borderId="15" xfId="2" applyFont="1" applyBorder="1" applyAlignment="1">
      <alignment horizontal="center" wrapText="1"/>
    </xf>
    <xf numFmtId="0" fontId="25" fillId="0" borderId="2" xfId="2" applyFont="1" applyBorder="1" applyAlignment="1">
      <alignment horizontal="center" wrapText="1"/>
    </xf>
    <xf numFmtId="0" fontId="10" fillId="0" borderId="1" xfId="2" applyFont="1" applyBorder="1" applyAlignment="1">
      <alignment horizontal="center" wrapText="1"/>
    </xf>
    <xf numFmtId="0" fontId="24" fillId="0" borderId="0" xfId="2" applyFont="1" applyAlignment="1">
      <alignment horizontal="center"/>
    </xf>
    <xf numFmtId="0" fontId="24" fillId="0" borderId="17" xfId="2" applyFont="1" applyBorder="1" applyAlignment="1">
      <alignment horizontal="center"/>
    </xf>
    <xf numFmtId="0" fontId="25" fillId="0" borderId="13" xfId="2" applyFont="1" applyBorder="1" applyAlignment="1">
      <alignment horizontal="center"/>
    </xf>
    <xf numFmtId="0" fontId="25" fillId="0" borderId="12" xfId="2" applyFont="1" applyBorder="1" applyAlignment="1">
      <alignment horizontal="center"/>
    </xf>
    <xf numFmtId="0" fontId="34" fillId="0" borderId="19" xfId="2" applyFont="1" applyBorder="1" applyAlignment="1">
      <alignment horizontal="center" vertical="center"/>
    </xf>
    <xf numFmtId="0" fontId="30" fillId="0" borderId="19" xfId="2" applyFont="1" applyBorder="1" applyAlignment="1">
      <alignment horizontal="center" vertical="center"/>
    </xf>
    <xf numFmtId="0" fontId="33" fillId="0" borderId="19" xfId="2" applyFont="1" applyBorder="1" applyAlignment="1">
      <alignment horizontal="center" vertical="center"/>
    </xf>
    <xf numFmtId="0" fontId="31" fillId="2" borderId="19" xfId="2" applyFont="1" applyFill="1" applyBorder="1" applyAlignment="1">
      <alignment horizontal="center" vertical="center"/>
    </xf>
    <xf numFmtId="0" fontId="31" fillId="0" borderId="19" xfId="2" applyFont="1" applyBorder="1" applyAlignment="1">
      <alignment horizontal="center" vertical="center" wrapText="1"/>
    </xf>
    <xf numFmtId="0" fontId="31" fillId="2" borderId="19" xfId="0" applyFont="1" applyFill="1" applyBorder="1" applyAlignment="1">
      <alignment horizontal="center" vertical="center"/>
    </xf>
    <xf numFmtId="49" fontId="37" fillId="0" borderId="19" xfId="2" applyNumberFormat="1" applyFont="1" applyBorder="1" applyAlignment="1">
      <alignment horizontal="center" vertical="center"/>
    </xf>
    <xf numFmtId="0" fontId="36" fillId="0" borderId="19" xfId="2" applyFont="1" applyBorder="1" applyAlignment="1">
      <alignment horizontal="left" vertical="center" wrapText="1" indent="1"/>
    </xf>
    <xf numFmtId="0" fontId="37" fillId="0" borderId="19" xfId="0" applyFont="1" applyBorder="1" applyAlignment="1">
      <alignment horizontal="left" vertical="center" indent="1"/>
    </xf>
    <xf numFmtId="0" fontId="37" fillId="0" borderId="19" xfId="2" applyFont="1" applyBorder="1" applyAlignment="1">
      <alignment horizontal="left" vertical="center" indent="1"/>
    </xf>
    <xf numFmtId="0" fontId="37" fillId="0" borderId="19" xfId="0" applyFont="1" applyBorder="1" applyAlignment="1">
      <alignment horizontal="left" vertical="center" wrapText="1" indent="1"/>
    </xf>
    <xf numFmtId="0" fontId="37" fillId="0" borderId="19" xfId="2" applyFont="1" applyBorder="1" applyAlignment="1">
      <alignment horizontal="left" vertical="center" wrapText="1" indent="1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!@" TargetMode="External"/><Relationship Id="rId1" Type="http://schemas.openxmlformats.org/officeDocument/2006/relationships/hyperlink" Target="mailto:!@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>
      <selection activeCell="D9" sqref="D9"/>
    </sheetView>
  </sheetViews>
  <sheetFormatPr defaultRowHeight="14.25" x14ac:dyDescent="0.2"/>
  <cols>
    <col min="1" max="1" width="5.42578125" style="12" customWidth="1"/>
    <col min="2" max="2" width="17.5703125" style="12" bestFit="1" customWidth="1"/>
    <col min="3" max="3" width="42.42578125" style="12" bestFit="1" customWidth="1"/>
    <col min="4" max="4" width="28.28515625" style="12" customWidth="1"/>
    <col min="5" max="5" width="7.42578125" style="12" customWidth="1"/>
    <col min="6" max="6" width="9.42578125" style="12" customWidth="1"/>
    <col min="7" max="7" width="12.5703125" style="12" customWidth="1"/>
    <col min="8" max="8" width="13.7109375" style="12" bestFit="1" customWidth="1"/>
    <col min="9" max="16384" width="9.140625" style="12"/>
  </cols>
  <sheetData>
    <row r="1" spans="1:8" ht="19.5" x14ac:dyDescent="0.25">
      <c r="A1" s="104" t="s">
        <v>0</v>
      </c>
      <c r="B1" s="104"/>
      <c r="C1" s="104"/>
      <c r="D1" s="104"/>
      <c r="E1" s="104"/>
      <c r="F1" s="104"/>
      <c r="G1" s="104"/>
      <c r="H1" s="104"/>
    </row>
    <row r="2" spans="1:8" ht="19.5" x14ac:dyDescent="0.25">
      <c r="A2" s="104" t="s">
        <v>1</v>
      </c>
      <c r="B2" s="104"/>
      <c r="C2" s="104"/>
      <c r="D2" s="104"/>
      <c r="E2" s="104"/>
      <c r="F2" s="104"/>
      <c r="G2" s="104"/>
      <c r="H2" s="104"/>
    </row>
    <row r="3" spans="1:8" ht="20.25" thickBot="1" x14ac:dyDescent="0.3">
      <c r="A3" s="105" t="s">
        <v>81</v>
      </c>
      <c r="B3" s="105"/>
      <c r="C3" s="105"/>
      <c r="D3" s="105"/>
      <c r="E3" s="105"/>
      <c r="F3" s="105"/>
      <c r="G3" s="105"/>
      <c r="H3" s="105"/>
    </row>
    <row r="4" spans="1:8" ht="18.75" thickTop="1" x14ac:dyDescent="0.25">
      <c r="A4" s="13" t="s">
        <v>4</v>
      </c>
      <c r="B4" s="14" t="s">
        <v>82</v>
      </c>
      <c r="C4" s="14" t="s">
        <v>83</v>
      </c>
      <c r="D4" s="14" t="s">
        <v>84</v>
      </c>
      <c r="E4" s="15" t="s">
        <v>85</v>
      </c>
      <c r="F4" s="16" t="s">
        <v>86</v>
      </c>
      <c r="G4" s="16" t="s">
        <v>87</v>
      </c>
      <c r="H4" s="17" t="s">
        <v>88</v>
      </c>
    </row>
    <row r="5" spans="1:8" ht="19.5" x14ac:dyDescent="0.35">
      <c r="A5" s="18"/>
      <c r="B5" s="19"/>
      <c r="C5" s="20" t="s">
        <v>89</v>
      </c>
      <c r="D5" s="20"/>
      <c r="E5" s="21"/>
      <c r="F5" s="22"/>
      <c r="G5" s="22"/>
      <c r="H5" s="23">
        <f>217912+250000</f>
        <v>467912</v>
      </c>
    </row>
    <row r="6" spans="1:8" ht="17.25" x14ac:dyDescent="0.35">
      <c r="A6" s="24">
        <v>1</v>
      </c>
      <c r="B6" s="25" t="s">
        <v>90</v>
      </c>
      <c r="C6" s="26" t="s">
        <v>91</v>
      </c>
      <c r="D6" s="26" t="s">
        <v>92</v>
      </c>
      <c r="E6" s="27">
        <v>41</v>
      </c>
      <c r="F6" s="28"/>
      <c r="G6" s="29">
        <v>36075</v>
      </c>
      <c r="H6" s="30">
        <f>H5-G6</f>
        <v>431837</v>
      </c>
    </row>
    <row r="7" spans="1:8" ht="17.25" x14ac:dyDescent="0.35">
      <c r="A7" s="24">
        <v>2</v>
      </c>
      <c r="B7" s="31" t="s">
        <v>93</v>
      </c>
      <c r="C7" s="26" t="s">
        <v>94</v>
      </c>
      <c r="D7" s="26" t="s">
        <v>95</v>
      </c>
      <c r="E7" s="27">
        <v>22</v>
      </c>
      <c r="F7" s="28"/>
      <c r="G7" s="29">
        <v>60349</v>
      </c>
      <c r="H7" s="30">
        <f t="shared" ref="H7:H14" si="0">H6-G7</f>
        <v>371488</v>
      </c>
    </row>
    <row r="8" spans="1:8" ht="17.25" x14ac:dyDescent="0.35">
      <c r="A8" s="24"/>
      <c r="B8" s="31" t="s">
        <v>96</v>
      </c>
      <c r="C8" s="26" t="s">
        <v>97</v>
      </c>
      <c r="D8" s="26" t="s">
        <v>98</v>
      </c>
      <c r="E8" s="27">
        <v>1</v>
      </c>
      <c r="F8" s="28"/>
      <c r="G8" s="29">
        <v>7500</v>
      </c>
      <c r="H8" s="30">
        <f t="shared" si="0"/>
        <v>363988</v>
      </c>
    </row>
    <row r="9" spans="1:8" ht="17.25" x14ac:dyDescent="0.35">
      <c r="A9" s="24">
        <v>3</v>
      </c>
      <c r="B9" s="31" t="s">
        <v>99</v>
      </c>
      <c r="C9" s="32" t="s">
        <v>100</v>
      </c>
      <c r="D9" s="26" t="s">
        <v>101</v>
      </c>
      <c r="E9" s="27">
        <v>1</v>
      </c>
      <c r="F9" s="28"/>
      <c r="G9" s="29">
        <v>0</v>
      </c>
      <c r="H9" s="30">
        <f t="shared" si="0"/>
        <v>363988</v>
      </c>
    </row>
    <row r="10" spans="1:8" ht="17.25" x14ac:dyDescent="0.35">
      <c r="A10" s="24">
        <v>4</v>
      </c>
      <c r="B10" s="31" t="s">
        <v>102</v>
      </c>
      <c r="C10" s="26" t="s">
        <v>103</v>
      </c>
      <c r="D10" s="26" t="s">
        <v>101</v>
      </c>
      <c r="E10" s="27">
        <v>1</v>
      </c>
      <c r="F10" s="28"/>
      <c r="G10" s="29">
        <v>0</v>
      </c>
      <c r="H10" s="30">
        <f t="shared" si="0"/>
        <v>363988</v>
      </c>
    </row>
    <row r="11" spans="1:8" ht="17.25" x14ac:dyDescent="0.35">
      <c r="A11" s="24">
        <v>5</v>
      </c>
      <c r="B11" s="31" t="s">
        <v>104</v>
      </c>
      <c r="C11" s="26" t="s">
        <v>105</v>
      </c>
      <c r="D11" s="26" t="s">
        <v>106</v>
      </c>
      <c r="E11" s="27">
        <v>2</v>
      </c>
      <c r="F11" s="28"/>
      <c r="G11" s="29">
        <v>0</v>
      </c>
      <c r="H11" s="30">
        <f t="shared" si="0"/>
        <v>363988</v>
      </c>
    </row>
    <row r="12" spans="1:8" ht="17.25" x14ac:dyDescent="0.35">
      <c r="A12" s="24">
        <v>6</v>
      </c>
      <c r="B12" s="31" t="s">
        <v>107</v>
      </c>
      <c r="C12" s="26" t="s">
        <v>108</v>
      </c>
      <c r="D12" s="26" t="s">
        <v>109</v>
      </c>
      <c r="E12" s="27">
        <v>2</v>
      </c>
      <c r="F12" s="28"/>
      <c r="G12" s="29">
        <v>18080</v>
      </c>
      <c r="H12" s="30">
        <f t="shared" si="0"/>
        <v>345908</v>
      </c>
    </row>
    <row r="13" spans="1:8" ht="17.25" x14ac:dyDescent="0.35">
      <c r="A13" s="24">
        <v>7</v>
      </c>
      <c r="B13" s="31" t="s">
        <v>107</v>
      </c>
      <c r="C13" s="26" t="s">
        <v>110</v>
      </c>
      <c r="D13" s="26" t="s">
        <v>92</v>
      </c>
      <c r="E13" s="27">
        <v>17</v>
      </c>
      <c r="F13" s="28"/>
      <c r="G13" s="29">
        <v>33370</v>
      </c>
      <c r="H13" s="30">
        <f t="shared" si="0"/>
        <v>312538</v>
      </c>
    </row>
    <row r="14" spans="1:8" ht="17.25" x14ac:dyDescent="0.35">
      <c r="A14" s="24">
        <v>8</v>
      </c>
      <c r="B14" s="31" t="s">
        <v>111</v>
      </c>
      <c r="C14" s="26" t="s">
        <v>112</v>
      </c>
      <c r="D14" s="26" t="s">
        <v>113</v>
      </c>
      <c r="E14" s="27">
        <v>2</v>
      </c>
      <c r="F14" s="28"/>
      <c r="G14" s="28">
        <v>0</v>
      </c>
      <c r="H14" s="30">
        <f t="shared" si="0"/>
        <v>312538</v>
      </c>
    </row>
    <row r="15" spans="1:8" ht="17.25" x14ac:dyDescent="0.35">
      <c r="A15" s="24">
        <v>9</v>
      </c>
      <c r="B15" s="31" t="s">
        <v>114</v>
      </c>
      <c r="C15" s="26" t="s">
        <v>115</v>
      </c>
      <c r="D15" s="26" t="s">
        <v>116</v>
      </c>
      <c r="E15" s="27">
        <v>27</v>
      </c>
      <c r="F15" s="28"/>
      <c r="G15" s="28">
        <v>0</v>
      </c>
      <c r="H15" s="30"/>
    </row>
    <row r="16" spans="1:8" ht="17.25" x14ac:dyDescent="0.35">
      <c r="A16" s="24">
        <v>10</v>
      </c>
      <c r="B16" s="31" t="s">
        <v>117</v>
      </c>
      <c r="C16" s="26" t="s">
        <v>118</v>
      </c>
      <c r="D16" s="26" t="s">
        <v>119</v>
      </c>
      <c r="E16" s="27">
        <v>31</v>
      </c>
      <c r="F16" s="28"/>
      <c r="G16" s="28">
        <v>0</v>
      </c>
      <c r="H16" s="30"/>
    </row>
    <row r="17" spans="1:8" ht="17.25" x14ac:dyDescent="0.35">
      <c r="A17" s="24">
        <v>11</v>
      </c>
      <c r="B17" s="31" t="s">
        <v>120</v>
      </c>
      <c r="C17" s="26" t="s">
        <v>121</v>
      </c>
      <c r="D17" s="26" t="s">
        <v>122</v>
      </c>
      <c r="E17" s="27">
        <v>1</v>
      </c>
      <c r="F17" s="28"/>
      <c r="G17" s="28">
        <v>0</v>
      </c>
      <c r="H17" s="30"/>
    </row>
    <row r="18" spans="1:8" ht="17.25" x14ac:dyDescent="0.35">
      <c r="A18" s="24">
        <v>12</v>
      </c>
      <c r="B18" s="31" t="s">
        <v>123</v>
      </c>
      <c r="C18" s="26" t="s">
        <v>124</v>
      </c>
      <c r="D18" s="26" t="s">
        <v>125</v>
      </c>
      <c r="E18" s="27">
        <v>2</v>
      </c>
      <c r="F18" s="28"/>
      <c r="G18" s="28">
        <v>0</v>
      </c>
      <c r="H18" s="30"/>
    </row>
    <row r="19" spans="1:8" ht="17.25" x14ac:dyDescent="0.35">
      <c r="A19" s="24">
        <v>13</v>
      </c>
      <c r="B19" s="31" t="s">
        <v>126</v>
      </c>
      <c r="C19" s="26" t="s">
        <v>127</v>
      </c>
      <c r="D19" s="26" t="s">
        <v>128</v>
      </c>
      <c r="E19" s="27">
        <v>1</v>
      </c>
      <c r="F19" s="28"/>
      <c r="G19" s="28">
        <v>0</v>
      </c>
      <c r="H19" s="30"/>
    </row>
  </sheetData>
  <mergeCells count="3">
    <mergeCell ref="A1:H1"/>
    <mergeCell ref="A2:H2"/>
    <mergeCell ref="A3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1"/>
  <sheetViews>
    <sheetView topLeftCell="A3" zoomScale="85" zoomScaleNormal="85" workbookViewId="0">
      <selection activeCell="I7" sqref="I7:I21"/>
    </sheetView>
  </sheetViews>
  <sheetFormatPr defaultRowHeight="19.5" x14ac:dyDescent="0.25"/>
  <cols>
    <col min="1" max="1" width="5.5703125" style="1" customWidth="1"/>
    <col min="2" max="2" width="25.42578125" style="1" customWidth="1"/>
    <col min="3" max="3" width="13.7109375" style="1" customWidth="1"/>
    <col min="4" max="4" width="13.5703125" style="1" customWidth="1"/>
    <col min="5" max="5" width="22.85546875" style="1" customWidth="1"/>
    <col min="6" max="6" width="11.28515625" style="1" customWidth="1"/>
    <col min="7" max="7" width="28.42578125" style="1" customWidth="1"/>
    <col min="8" max="8" width="13.85546875" style="1" customWidth="1"/>
    <col min="9" max="9" width="17.140625" style="1" customWidth="1"/>
    <col min="10" max="10" width="14" style="1" customWidth="1"/>
    <col min="11" max="16384" width="9.140625" style="1"/>
  </cols>
  <sheetData>
    <row r="1" spans="1:10" ht="15" customHeight="1" x14ac:dyDescent="0.25">
      <c r="A1" s="106" t="s">
        <v>0</v>
      </c>
      <c r="B1" s="106"/>
      <c r="C1" s="106"/>
      <c r="D1" s="106"/>
      <c r="E1" s="106"/>
      <c r="F1" s="106"/>
      <c r="G1" s="106"/>
      <c r="H1" s="106"/>
      <c r="I1" s="106"/>
    </row>
    <row r="2" spans="1:10" x14ac:dyDescent="0.25">
      <c r="A2" s="106" t="s">
        <v>1</v>
      </c>
      <c r="B2" s="106"/>
      <c r="C2" s="106"/>
      <c r="D2" s="106"/>
      <c r="E2" s="106"/>
      <c r="F2" s="106"/>
      <c r="G2" s="106"/>
      <c r="H2" s="106"/>
      <c r="I2" s="106"/>
    </row>
    <row r="3" spans="1:10" x14ac:dyDescent="0.25">
      <c r="A3" s="106" t="s">
        <v>2</v>
      </c>
      <c r="B3" s="106"/>
      <c r="C3" s="106"/>
      <c r="D3" s="106"/>
      <c r="E3" s="106"/>
      <c r="F3" s="106"/>
      <c r="G3" s="106"/>
      <c r="H3" s="106"/>
      <c r="I3" s="106"/>
    </row>
    <row r="4" spans="1:10" x14ac:dyDescent="0.25">
      <c r="A4" s="107" t="s">
        <v>3</v>
      </c>
      <c r="B4" s="107"/>
      <c r="C4" s="107"/>
      <c r="D4" s="107"/>
      <c r="E4" s="107"/>
      <c r="F4" s="107"/>
      <c r="G4" s="107"/>
      <c r="H4" s="107"/>
      <c r="I4" s="107"/>
    </row>
    <row r="5" spans="1:10" ht="36" x14ac:dyDescent="0.25">
      <c r="A5" s="108" t="s">
        <v>4</v>
      </c>
      <c r="B5" s="108" t="s">
        <v>5</v>
      </c>
      <c r="C5" s="11" t="s">
        <v>6</v>
      </c>
      <c r="D5" s="11"/>
      <c r="E5" s="108" t="s">
        <v>9</v>
      </c>
      <c r="F5" s="108" t="s">
        <v>25</v>
      </c>
      <c r="G5" s="108" t="s">
        <v>10</v>
      </c>
      <c r="H5" s="108" t="s">
        <v>11</v>
      </c>
      <c r="I5" s="108" t="s">
        <v>12</v>
      </c>
      <c r="J5" s="40" t="s">
        <v>69</v>
      </c>
    </row>
    <row r="6" spans="1:10" x14ac:dyDescent="0.25">
      <c r="A6" s="109"/>
      <c r="B6" s="109"/>
      <c r="C6" s="11" t="s">
        <v>7</v>
      </c>
      <c r="D6" s="11" t="s">
        <v>8</v>
      </c>
      <c r="E6" s="109"/>
      <c r="F6" s="109"/>
      <c r="G6" s="109"/>
      <c r="H6" s="109"/>
      <c r="I6" s="109"/>
      <c r="J6" s="7"/>
    </row>
    <row r="7" spans="1:10" ht="36" x14ac:dyDescent="0.35">
      <c r="A7" s="33" t="s">
        <v>16</v>
      </c>
      <c r="B7" s="34" t="s">
        <v>21</v>
      </c>
      <c r="C7" s="11" t="s">
        <v>22</v>
      </c>
      <c r="D7" s="11" t="s">
        <v>23</v>
      </c>
      <c r="E7" s="35" t="s">
        <v>24</v>
      </c>
      <c r="F7" s="5">
        <v>22</v>
      </c>
      <c r="G7" s="33" t="s">
        <v>17</v>
      </c>
      <c r="H7" s="33" t="s">
        <v>11</v>
      </c>
      <c r="I7" s="33" t="s">
        <v>19</v>
      </c>
      <c r="J7" s="8">
        <v>103080.5</v>
      </c>
    </row>
    <row r="8" spans="1:10" ht="20.25" x14ac:dyDescent="0.3">
      <c r="A8" s="33" t="s">
        <v>26</v>
      </c>
      <c r="B8" s="11" t="s">
        <v>20</v>
      </c>
      <c r="C8" s="11" t="s">
        <v>13</v>
      </c>
      <c r="D8" s="11" t="s">
        <v>14</v>
      </c>
      <c r="E8" s="11" t="s">
        <v>15</v>
      </c>
      <c r="F8" s="3" t="s">
        <v>16</v>
      </c>
      <c r="G8" s="11" t="s">
        <v>17</v>
      </c>
      <c r="H8" s="38" t="s">
        <v>19</v>
      </c>
      <c r="I8" s="11" t="s">
        <v>18</v>
      </c>
      <c r="J8" s="8">
        <v>0</v>
      </c>
    </row>
    <row r="9" spans="1:10" ht="20.25" x14ac:dyDescent="0.3">
      <c r="A9" s="33" t="s">
        <v>27</v>
      </c>
      <c r="B9" s="35" t="s">
        <v>28</v>
      </c>
      <c r="C9" s="11" t="s">
        <v>29</v>
      </c>
      <c r="D9" s="11" t="s">
        <v>30</v>
      </c>
      <c r="E9" s="11" t="s">
        <v>15</v>
      </c>
      <c r="F9" s="4" t="s">
        <v>16</v>
      </c>
      <c r="G9" s="11" t="s">
        <v>17</v>
      </c>
      <c r="H9" s="38" t="s">
        <v>19</v>
      </c>
      <c r="I9" s="11" t="s">
        <v>18</v>
      </c>
      <c r="J9" s="8">
        <v>0</v>
      </c>
    </row>
    <row r="10" spans="1:10" ht="20.25" x14ac:dyDescent="0.3">
      <c r="A10" s="33" t="s">
        <v>31</v>
      </c>
      <c r="B10" s="35" t="s">
        <v>32</v>
      </c>
      <c r="C10" s="11" t="s">
        <v>33</v>
      </c>
      <c r="D10" s="11" t="s">
        <v>34</v>
      </c>
      <c r="E10" s="33" t="s">
        <v>35</v>
      </c>
      <c r="F10" s="4" t="s">
        <v>16</v>
      </c>
      <c r="G10" s="33" t="s">
        <v>36</v>
      </c>
      <c r="H10" s="38" t="s">
        <v>19</v>
      </c>
      <c r="I10" s="33" t="s">
        <v>37</v>
      </c>
      <c r="J10" s="8">
        <v>6750</v>
      </c>
    </row>
    <row r="11" spans="1:10" ht="23.45" customHeight="1" x14ac:dyDescent="0.35">
      <c r="A11" s="33" t="s">
        <v>38</v>
      </c>
      <c r="B11" s="35" t="s">
        <v>39</v>
      </c>
      <c r="C11" s="11" t="s">
        <v>41</v>
      </c>
      <c r="D11" s="11" t="s">
        <v>42</v>
      </c>
      <c r="E11" s="33" t="s">
        <v>40</v>
      </c>
      <c r="F11" s="5">
        <v>20</v>
      </c>
      <c r="G11" s="39" t="s">
        <v>43</v>
      </c>
      <c r="H11" s="33" t="s">
        <v>11</v>
      </c>
      <c r="I11" s="38" t="s">
        <v>19</v>
      </c>
      <c r="J11" s="8">
        <v>98162</v>
      </c>
    </row>
    <row r="12" spans="1:10" ht="20.25" x14ac:dyDescent="0.3">
      <c r="A12" s="33" t="s">
        <v>44</v>
      </c>
      <c r="B12" s="35" t="s">
        <v>45</v>
      </c>
      <c r="C12" s="11" t="s">
        <v>46</v>
      </c>
      <c r="D12" s="11" t="s">
        <v>46</v>
      </c>
      <c r="E12" s="35" t="s">
        <v>47</v>
      </c>
      <c r="F12" s="4" t="s">
        <v>48</v>
      </c>
      <c r="G12" s="33" t="s">
        <v>49</v>
      </c>
      <c r="H12" s="33" t="s">
        <v>11</v>
      </c>
      <c r="I12" s="38" t="s">
        <v>19</v>
      </c>
      <c r="J12" s="8">
        <v>8950</v>
      </c>
    </row>
    <row r="13" spans="1:10" ht="21" x14ac:dyDescent="0.35">
      <c r="A13" s="33" t="s">
        <v>50</v>
      </c>
      <c r="B13" s="35" t="s">
        <v>45</v>
      </c>
      <c r="C13" s="11" t="s">
        <v>137</v>
      </c>
      <c r="D13" s="11" t="s">
        <v>138</v>
      </c>
      <c r="E13" s="35" t="s">
        <v>136</v>
      </c>
      <c r="F13" s="5">
        <v>23</v>
      </c>
      <c r="G13" s="33" t="s">
        <v>49</v>
      </c>
      <c r="H13" s="33" t="s">
        <v>11</v>
      </c>
      <c r="I13" s="38" t="s">
        <v>19</v>
      </c>
      <c r="J13" s="8">
        <v>28995</v>
      </c>
    </row>
    <row r="14" spans="1:10" ht="20.25" x14ac:dyDescent="0.3">
      <c r="A14" s="33" t="s">
        <v>52</v>
      </c>
      <c r="B14" s="35" t="s">
        <v>53</v>
      </c>
      <c r="C14" s="11" t="s">
        <v>54</v>
      </c>
      <c r="D14" s="11" t="s">
        <v>55</v>
      </c>
      <c r="E14" s="11" t="s">
        <v>15</v>
      </c>
      <c r="F14" s="4" t="s">
        <v>16</v>
      </c>
      <c r="G14" s="11" t="s">
        <v>17</v>
      </c>
      <c r="H14" s="38" t="s">
        <v>19</v>
      </c>
      <c r="I14" s="11" t="s">
        <v>18</v>
      </c>
      <c r="J14" s="8">
        <v>0</v>
      </c>
    </row>
    <row r="15" spans="1:10" ht="21" x14ac:dyDescent="0.35">
      <c r="A15" s="33" t="s">
        <v>56</v>
      </c>
      <c r="B15" s="35" t="s">
        <v>57</v>
      </c>
      <c r="C15" s="11" t="s">
        <v>58</v>
      </c>
      <c r="D15" s="11" t="s">
        <v>59</v>
      </c>
      <c r="E15" s="35" t="s">
        <v>136</v>
      </c>
      <c r="F15" s="5">
        <v>23</v>
      </c>
      <c r="G15" s="11" t="s">
        <v>17</v>
      </c>
      <c r="H15" s="38" t="s">
        <v>17</v>
      </c>
      <c r="I15" s="38" t="s">
        <v>19</v>
      </c>
      <c r="J15" s="8">
        <v>58772</v>
      </c>
    </row>
    <row r="16" spans="1:10" ht="20.25" x14ac:dyDescent="0.3">
      <c r="A16" s="33" t="s">
        <v>60</v>
      </c>
      <c r="B16" s="35" t="s">
        <v>45</v>
      </c>
      <c r="C16" s="11" t="s">
        <v>61</v>
      </c>
      <c r="D16" s="11" t="s">
        <v>61</v>
      </c>
      <c r="E16" s="35" t="s">
        <v>47</v>
      </c>
      <c r="F16" s="6">
        <v>12</v>
      </c>
      <c r="G16" s="33" t="s">
        <v>49</v>
      </c>
      <c r="H16" s="33" t="s">
        <v>11</v>
      </c>
      <c r="I16" s="38" t="s">
        <v>19</v>
      </c>
      <c r="J16" s="8">
        <v>6450</v>
      </c>
    </row>
    <row r="17" spans="1:10" ht="20.25" x14ac:dyDescent="0.3">
      <c r="A17" s="33" t="s">
        <v>62</v>
      </c>
      <c r="B17" s="35" t="s">
        <v>45</v>
      </c>
      <c r="C17" s="11" t="s">
        <v>64</v>
      </c>
      <c r="D17" s="11" t="s">
        <v>63</v>
      </c>
      <c r="E17" s="35" t="s">
        <v>136</v>
      </c>
      <c r="F17" s="9">
        <v>27</v>
      </c>
      <c r="G17" s="33" t="s">
        <v>49</v>
      </c>
      <c r="H17" s="33" t="s">
        <v>11</v>
      </c>
      <c r="I17" s="38" t="s">
        <v>19</v>
      </c>
      <c r="J17" s="8">
        <v>40319.800000000003</v>
      </c>
    </row>
    <row r="18" spans="1:10" ht="22.5" x14ac:dyDescent="0.45">
      <c r="A18" s="36">
        <v>12</v>
      </c>
      <c r="B18" s="35" t="s">
        <v>65</v>
      </c>
      <c r="C18" s="11" t="s">
        <v>66</v>
      </c>
      <c r="D18" s="11" t="s">
        <v>67</v>
      </c>
      <c r="E18" s="11" t="s">
        <v>15</v>
      </c>
      <c r="F18" s="4" t="s">
        <v>16</v>
      </c>
      <c r="G18" s="11" t="s">
        <v>17</v>
      </c>
      <c r="H18" s="38" t="s">
        <v>19</v>
      </c>
      <c r="I18" s="33" t="s">
        <v>68</v>
      </c>
      <c r="J18" s="8">
        <v>14000</v>
      </c>
    </row>
    <row r="19" spans="1:10" ht="20.25" x14ac:dyDescent="0.3">
      <c r="A19" s="11" t="s">
        <v>130</v>
      </c>
      <c r="B19" s="37" t="s">
        <v>131</v>
      </c>
      <c r="C19" s="11" t="s">
        <v>132</v>
      </c>
      <c r="D19" s="11" t="s">
        <v>133</v>
      </c>
      <c r="E19" s="35" t="s">
        <v>136</v>
      </c>
      <c r="F19" s="10">
        <v>21</v>
      </c>
      <c r="G19" s="11" t="s">
        <v>17</v>
      </c>
      <c r="H19" s="38" t="s">
        <v>11</v>
      </c>
      <c r="I19" s="38" t="s">
        <v>19</v>
      </c>
      <c r="J19" s="8">
        <v>64486.1</v>
      </c>
    </row>
    <row r="20" spans="1:10" ht="20.25" x14ac:dyDescent="0.3">
      <c r="A20" s="11"/>
      <c r="B20" s="11" t="s">
        <v>134</v>
      </c>
      <c r="C20" s="11"/>
      <c r="D20" s="11"/>
      <c r="E20" s="11"/>
      <c r="F20" s="2"/>
      <c r="G20" s="11"/>
      <c r="H20" s="11"/>
      <c r="I20" s="11"/>
      <c r="J20" s="8">
        <v>161803.81</v>
      </c>
    </row>
    <row r="21" spans="1:10" ht="20.25" x14ac:dyDescent="0.3">
      <c r="A21" s="11"/>
      <c r="B21" s="11" t="s">
        <v>135</v>
      </c>
      <c r="C21" s="11"/>
      <c r="D21" s="11"/>
      <c r="E21" s="11"/>
      <c r="F21" s="2"/>
      <c r="G21" s="11"/>
      <c r="H21" s="11"/>
      <c r="I21" s="11"/>
      <c r="J21" s="8">
        <f>SUM(J7:J20)</f>
        <v>591769.21</v>
      </c>
    </row>
  </sheetData>
  <mergeCells count="11">
    <mergeCell ref="A1:I1"/>
    <mergeCell ref="A2:I2"/>
    <mergeCell ref="A3:I3"/>
    <mergeCell ref="A4:I4"/>
    <mergeCell ref="E5:E6"/>
    <mergeCell ref="F5:F6"/>
    <mergeCell ref="G5:G6"/>
    <mergeCell ref="H5:H6"/>
    <mergeCell ref="I5:I6"/>
    <mergeCell ref="A5:A6"/>
    <mergeCell ref="B5:B6"/>
  </mergeCells>
  <phoneticPr fontId="1" type="noConversion"/>
  <hyperlinks>
    <hyperlink ref="F16" r:id="rId1" display="!@"/>
    <hyperlink ref="A18" r:id="rId2" display="!@"/>
  </hyperlinks>
  <pageMargins left="0" right="0.16" top="0.21" bottom="0.16" header="0.19" footer="0.16"/>
  <pageSetup scale="90" orientation="landscape" verticalDpi="0" r:id="rId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workbookViewId="0">
      <selection activeCell="G18" sqref="G18"/>
    </sheetView>
  </sheetViews>
  <sheetFormatPr defaultRowHeight="18" x14ac:dyDescent="0.25"/>
  <cols>
    <col min="1" max="1" width="5.5703125" style="41" customWidth="1"/>
    <col min="2" max="2" width="36.42578125" style="41" bestFit="1" customWidth="1"/>
    <col min="3" max="3" width="13.7109375" style="41" customWidth="1"/>
    <col min="4" max="4" width="12.140625" style="41" customWidth="1"/>
    <col min="5" max="5" width="24.140625" style="41" customWidth="1"/>
    <col min="6" max="6" width="15.7109375" style="41" customWidth="1"/>
    <col min="7" max="7" width="15.42578125" style="41" customWidth="1"/>
    <col min="8" max="8" width="13.85546875" style="41" customWidth="1"/>
    <col min="9" max="9" width="7.85546875" style="41" customWidth="1"/>
    <col min="10" max="10" width="11.85546875" style="41" customWidth="1"/>
    <col min="11" max="11" width="9.140625" style="41"/>
    <col min="12" max="12" width="11.28515625" style="41" bestFit="1" customWidth="1"/>
    <col min="13" max="16384" width="9.140625" style="41"/>
  </cols>
  <sheetData>
    <row r="1" spans="1:12" ht="15" customHeight="1" x14ac:dyDescent="0.25">
      <c r="A1" s="110" t="s">
        <v>0</v>
      </c>
      <c r="B1" s="110"/>
      <c r="C1" s="110"/>
      <c r="D1" s="110"/>
      <c r="E1" s="110"/>
      <c r="F1" s="110"/>
      <c r="G1" s="110"/>
      <c r="H1" s="110"/>
      <c r="I1" s="110"/>
      <c r="J1" s="110"/>
    </row>
    <row r="2" spans="1:12" x14ac:dyDescent="0.25">
      <c r="A2" s="110" t="s">
        <v>1</v>
      </c>
      <c r="B2" s="110"/>
      <c r="C2" s="110"/>
      <c r="D2" s="110"/>
      <c r="E2" s="110"/>
      <c r="F2" s="110"/>
      <c r="G2" s="110"/>
      <c r="H2" s="110"/>
      <c r="I2" s="110"/>
      <c r="J2" s="110"/>
    </row>
    <row r="3" spans="1:12" x14ac:dyDescent="0.25">
      <c r="A3" s="110" t="s">
        <v>2</v>
      </c>
      <c r="B3" s="110"/>
      <c r="C3" s="110"/>
      <c r="D3" s="110"/>
      <c r="E3" s="110"/>
      <c r="F3" s="110"/>
      <c r="G3" s="110"/>
      <c r="H3" s="110"/>
      <c r="I3" s="110"/>
      <c r="J3" s="110"/>
    </row>
    <row r="4" spans="1:12" x14ac:dyDescent="0.25">
      <c r="A4" s="111" t="s">
        <v>70</v>
      </c>
      <c r="B4" s="111"/>
      <c r="C4" s="111"/>
      <c r="D4" s="111"/>
      <c r="E4" s="111"/>
      <c r="F4" s="111"/>
      <c r="G4" s="111"/>
      <c r="H4" s="111"/>
      <c r="I4" s="111"/>
      <c r="J4" s="111"/>
    </row>
    <row r="5" spans="1:12" ht="19.5" x14ac:dyDescent="0.25">
      <c r="A5" s="112" t="s">
        <v>4</v>
      </c>
      <c r="B5" s="112" t="s">
        <v>5</v>
      </c>
      <c r="C5" s="46" t="s">
        <v>6</v>
      </c>
      <c r="D5" s="46"/>
      <c r="E5" s="112" t="s">
        <v>9</v>
      </c>
      <c r="F5" s="112" t="s">
        <v>25</v>
      </c>
      <c r="G5" s="112" t="s">
        <v>10</v>
      </c>
      <c r="H5" s="112" t="s">
        <v>11</v>
      </c>
      <c r="I5" s="112" t="s">
        <v>12</v>
      </c>
      <c r="J5" s="114" t="s">
        <v>69</v>
      </c>
    </row>
    <row r="6" spans="1:12" ht="19.5" x14ac:dyDescent="0.25">
      <c r="A6" s="113"/>
      <c r="B6" s="113"/>
      <c r="C6" s="46" t="s">
        <v>7</v>
      </c>
      <c r="D6" s="46" t="s">
        <v>8</v>
      </c>
      <c r="E6" s="113"/>
      <c r="F6" s="113"/>
      <c r="G6" s="113"/>
      <c r="H6" s="113"/>
      <c r="I6" s="113"/>
      <c r="J6" s="115"/>
    </row>
    <row r="7" spans="1:12" ht="36" x14ac:dyDescent="0.45">
      <c r="A7" s="44">
        <v>1</v>
      </c>
      <c r="B7" s="34" t="s">
        <v>71</v>
      </c>
      <c r="C7" s="11" t="s">
        <v>72</v>
      </c>
      <c r="D7" s="11" t="s">
        <v>73</v>
      </c>
      <c r="E7" s="35" t="s">
        <v>74</v>
      </c>
      <c r="F7" s="9">
        <v>28</v>
      </c>
      <c r="G7" s="33" t="s">
        <v>75</v>
      </c>
      <c r="H7" s="33" t="s">
        <v>11</v>
      </c>
      <c r="I7" s="33" t="s">
        <v>19</v>
      </c>
      <c r="J7" s="8">
        <f>30522.19+23665</f>
        <v>54187.19</v>
      </c>
      <c r="L7" s="42"/>
    </row>
    <row r="8" spans="1:12" ht="36" x14ac:dyDescent="0.3">
      <c r="A8" s="44">
        <v>2</v>
      </c>
      <c r="B8" s="34" t="s">
        <v>140</v>
      </c>
      <c r="C8" s="11" t="s">
        <v>141</v>
      </c>
      <c r="D8" s="11" t="s">
        <v>141</v>
      </c>
      <c r="E8" s="35" t="s">
        <v>51</v>
      </c>
      <c r="F8" s="9">
        <v>17</v>
      </c>
      <c r="G8" s="33" t="s">
        <v>49</v>
      </c>
      <c r="H8" s="33" t="s">
        <v>11</v>
      </c>
      <c r="I8" s="33" t="s">
        <v>19</v>
      </c>
      <c r="J8" s="8">
        <v>13335</v>
      </c>
    </row>
    <row r="9" spans="1:12" ht="18.75" x14ac:dyDescent="0.3">
      <c r="A9" s="44">
        <v>3</v>
      </c>
      <c r="B9" s="11" t="s">
        <v>139</v>
      </c>
      <c r="C9" s="11" t="s">
        <v>143</v>
      </c>
      <c r="D9" s="11" t="s">
        <v>143</v>
      </c>
      <c r="E9" s="35" t="s">
        <v>142</v>
      </c>
      <c r="F9" s="10">
        <v>12</v>
      </c>
      <c r="G9" s="33" t="s">
        <v>75</v>
      </c>
      <c r="H9" s="33" t="s">
        <v>11</v>
      </c>
      <c r="I9" s="33" t="s">
        <v>19</v>
      </c>
      <c r="J9" s="8">
        <v>1680</v>
      </c>
    </row>
    <row r="10" spans="1:12" ht="18.75" x14ac:dyDescent="0.3">
      <c r="A10" s="44">
        <v>4</v>
      </c>
      <c r="B10" s="11" t="s">
        <v>144</v>
      </c>
      <c r="C10" s="11" t="s">
        <v>145</v>
      </c>
      <c r="D10" s="11" t="s">
        <v>145</v>
      </c>
      <c r="E10" s="35" t="s">
        <v>51</v>
      </c>
      <c r="F10" s="9">
        <v>15</v>
      </c>
      <c r="G10" s="33" t="s">
        <v>75</v>
      </c>
      <c r="H10" s="33" t="s">
        <v>11</v>
      </c>
      <c r="I10" s="33" t="s">
        <v>19</v>
      </c>
      <c r="J10" s="8">
        <v>11200</v>
      </c>
    </row>
    <row r="11" spans="1:12" ht="18.75" x14ac:dyDescent="0.3">
      <c r="A11" s="44">
        <v>5</v>
      </c>
      <c r="B11" s="11" t="s">
        <v>76</v>
      </c>
      <c r="C11" s="11" t="s">
        <v>77</v>
      </c>
      <c r="D11" s="11" t="s">
        <v>77</v>
      </c>
      <c r="E11" s="35" t="s">
        <v>51</v>
      </c>
      <c r="F11" s="10">
        <v>25</v>
      </c>
      <c r="G11" s="11" t="s">
        <v>78</v>
      </c>
      <c r="H11" s="33" t="s">
        <v>11</v>
      </c>
      <c r="I11" s="33" t="s">
        <v>19</v>
      </c>
      <c r="J11" s="8">
        <v>27860</v>
      </c>
    </row>
    <row r="12" spans="1:12" ht="36.75" x14ac:dyDescent="0.3">
      <c r="A12" s="44">
        <v>6</v>
      </c>
      <c r="B12" s="43" t="s">
        <v>129</v>
      </c>
      <c r="C12" s="11" t="s">
        <v>79</v>
      </c>
      <c r="D12" s="11" t="s">
        <v>79</v>
      </c>
      <c r="E12" s="35" t="s">
        <v>51</v>
      </c>
      <c r="F12" s="9">
        <v>16</v>
      </c>
      <c r="G12" s="33" t="s">
        <v>75</v>
      </c>
      <c r="H12" s="33" t="s">
        <v>11</v>
      </c>
      <c r="I12" s="33" t="s">
        <v>19</v>
      </c>
      <c r="J12" s="8">
        <v>6415</v>
      </c>
    </row>
    <row r="13" spans="1:12" ht="36.75" x14ac:dyDescent="0.3">
      <c r="A13" s="44">
        <v>7</v>
      </c>
      <c r="B13" s="43" t="s">
        <v>129</v>
      </c>
      <c r="C13" s="11" t="s">
        <v>80</v>
      </c>
      <c r="D13" s="11" t="s">
        <v>80</v>
      </c>
      <c r="E13" s="33" t="s">
        <v>47</v>
      </c>
      <c r="F13" s="9">
        <v>7</v>
      </c>
      <c r="G13" s="33" t="s">
        <v>75</v>
      </c>
      <c r="H13" s="33" t="s">
        <v>11</v>
      </c>
      <c r="I13" s="33" t="s">
        <v>19</v>
      </c>
      <c r="J13" s="8">
        <v>7150</v>
      </c>
    </row>
    <row r="14" spans="1:12" ht="18.75" x14ac:dyDescent="0.3">
      <c r="A14" s="44">
        <v>8</v>
      </c>
      <c r="B14" s="45" t="s">
        <v>151</v>
      </c>
      <c r="C14" s="11" t="s">
        <v>146</v>
      </c>
      <c r="D14" s="11" t="s">
        <v>147</v>
      </c>
      <c r="E14" s="33" t="s">
        <v>148</v>
      </c>
      <c r="F14" s="9">
        <v>1</v>
      </c>
      <c r="G14" s="33" t="s">
        <v>149</v>
      </c>
      <c r="H14" s="33" t="s">
        <v>19</v>
      </c>
      <c r="I14" s="33" t="s">
        <v>150</v>
      </c>
      <c r="J14" s="8"/>
    </row>
    <row r="15" spans="1:12" ht="18.75" x14ac:dyDescent="0.3">
      <c r="A15" s="44">
        <v>9</v>
      </c>
      <c r="B15" s="11" t="s">
        <v>155</v>
      </c>
      <c r="C15" s="11" t="s">
        <v>158</v>
      </c>
      <c r="D15" s="11" t="s">
        <v>158</v>
      </c>
      <c r="E15" s="35" t="s">
        <v>51</v>
      </c>
      <c r="F15" s="9">
        <v>17</v>
      </c>
      <c r="G15" s="11" t="s">
        <v>78</v>
      </c>
      <c r="H15" s="33" t="s">
        <v>11</v>
      </c>
      <c r="I15" s="33" t="s">
        <v>19</v>
      </c>
      <c r="J15" s="8">
        <v>10170</v>
      </c>
    </row>
    <row r="16" spans="1:12" ht="18.75" x14ac:dyDescent="0.3">
      <c r="A16" s="44">
        <v>10</v>
      </c>
      <c r="B16" s="11" t="s">
        <v>155</v>
      </c>
      <c r="C16" s="11" t="s">
        <v>156</v>
      </c>
      <c r="D16" s="11" t="s">
        <v>157</v>
      </c>
      <c r="E16" s="35" t="s">
        <v>51</v>
      </c>
      <c r="F16" s="9">
        <v>27</v>
      </c>
      <c r="G16" s="11" t="s">
        <v>78</v>
      </c>
      <c r="H16" s="33" t="s">
        <v>11</v>
      </c>
      <c r="I16" s="33" t="s">
        <v>19</v>
      </c>
      <c r="J16" s="8">
        <v>18895</v>
      </c>
    </row>
    <row r="17" spans="1:10" ht="36.75" x14ac:dyDescent="0.3">
      <c r="A17" s="44">
        <v>11</v>
      </c>
      <c r="B17" s="43" t="s">
        <v>152</v>
      </c>
      <c r="C17" s="11" t="s">
        <v>153</v>
      </c>
      <c r="D17" s="11" t="s">
        <v>154</v>
      </c>
      <c r="E17" s="35" t="s">
        <v>51</v>
      </c>
      <c r="F17" s="9">
        <v>33</v>
      </c>
      <c r="G17" s="33" t="s">
        <v>75</v>
      </c>
      <c r="H17" s="33" t="s">
        <v>11</v>
      </c>
      <c r="I17" s="33" t="s">
        <v>19</v>
      </c>
      <c r="J17" s="8">
        <v>114260</v>
      </c>
    </row>
    <row r="18" spans="1:10" ht="36.75" x14ac:dyDescent="0.3">
      <c r="A18" s="44">
        <v>12</v>
      </c>
      <c r="B18" s="43" t="s">
        <v>162</v>
      </c>
      <c r="C18" s="11" t="s">
        <v>160</v>
      </c>
      <c r="D18" s="11" t="s">
        <v>160</v>
      </c>
      <c r="E18" s="35" t="s">
        <v>159</v>
      </c>
      <c r="F18" s="9">
        <v>8</v>
      </c>
      <c r="G18" s="33" t="s">
        <v>161</v>
      </c>
      <c r="H18" s="33" t="s">
        <v>11</v>
      </c>
      <c r="I18" s="33" t="s">
        <v>19</v>
      </c>
      <c r="J18" s="8">
        <v>1840</v>
      </c>
    </row>
    <row r="19" spans="1:10" ht="18.75" x14ac:dyDescent="0.3">
      <c r="J19" s="8">
        <f>SUM(J7:J18)</f>
        <v>266992.19</v>
      </c>
    </row>
  </sheetData>
  <mergeCells count="12">
    <mergeCell ref="A1:J1"/>
    <mergeCell ref="A2:J2"/>
    <mergeCell ref="A3:J3"/>
    <mergeCell ref="A4:J4"/>
    <mergeCell ref="A5:A6"/>
    <mergeCell ref="B5:B6"/>
    <mergeCell ref="E5:E6"/>
    <mergeCell ref="F5:F6"/>
    <mergeCell ref="G5:G6"/>
    <mergeCell ref="H5:H6"/>
    <mergeCell ref="J5:J6"/>
    <mergeCell ref="I5:I6"/>
  </mergeCells>
  <pageMargins left="0.45" right="0.45" top="0.75" bottom="0.75" header="0.3" footer="0.3"/>
  <pageSetup paperSize="9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9"/>
  <sheetViews>
    <sheetView workbookViewId="0">
      <selection activeCell="B22" sqref="B22"/>
    </sheetView>
  </sheetViews>
  <sheetFormatPr defaultRowHeight="12.75" x14ac:dyDescent="0.2"/>
  <cols>
    <col min="1" max="1" width="6.85546875" bestFit="1" customWidth="1"/>
    <col min="2" max="2" width="50" bestFit="1" customWidth="1"/>
    <col min="3" max="4" width="13.140625" bestFit="1" customWidth="1"/>
    <col min="5" max="5" width="22.85546875" bestFit="1" customWidth="1"/>
    <col min="6" max="6" width="15.42578125" bestFit="1" customWidth="1"/>
    <col min="7" max="7" width="20.85546875" bestFit="1" customWidth="1"/>
    <col min="8" max="8" width="9.85546875" bestFit="1" customWidth="1"/>
    <col min="9" max="9" width="6.42578125" bestFit="1" customWidth="1"/>
    <col min="10" max="10" width="25.85546875" bestFit="1" customWidth="1"/>
  </cols>
  <sheetData>
    <row r="1" spans="1:10" ht="18" x14ac:dyDescent="0.25">
      <c r="A1" s="123" t="s">
        <v>0</v>
      </c>
      <c r="B1" s="123"/>
      <c r="C1" s="123"/>
      <c r="D1" s="123"/>
      <c r="E1" s="123"/>
      <c r="F1" s="123"/>
      <c r="G1" s="123"/>
      <c r="H1" s="123"/>
      <c r="I1" s="123"/>
      <c r="J1" s="123"/>
    </row>
    <row r="2" spans="1:10" ht="18" x14ac:dyDescent="0.25">
      <c r="A2" s="123" t="s">
        <v>1</v>
      </c>
      <c r="B2" s="123"/>
      <c r="C2" s="123"/>
      <c r="D2" s="123"/>
      <c r="E2" s="123"/>
      <c r="F2" s="123"/>
      <c r="G2" s="123"/>
      <c r="H2" s="123"/>
      <c r="I2" s="123"/>
      <c r="J2" s="123"/>
    </row>
    <row r="3" spans="1:10" ht="18" x14ac:dyDescent="0.25">
      <c r="A3" s="123" t="s">
        <v>2</v>
      </c>
      <c r="B3" s="123"/>
      <c r="C3" s="123"/>
      <c r="D3" s="123"/>
      <c r="E3" s="123"/>
      <c r="F3" s="123"/>
      <c r="G3" s="123"/>
      <c r="H3" s="123"/>
      <c r="I3" s="123"/>
      <c r="J3" s="123"/>
    </row>
    <row r="4" spans="1:10" ht="18" x14ac:dyDescent="0.25">
      <c r="A4" s="124" t="s">
        <v>163</v>
      </c>
      <c r="B4" s="124"/>
      <c r="C4" s="124"/>
      <c r="D4" s="124"/>
      <c r="E4" s="124"/>
      <c r="F4" s="124"/>
      <c r="G4" s="124"/>
      <c r="H4" s="124"/>
      <c r="I4" s="124"/>
      <c r="J4" s="124"/>
    </row>
    <row r="5" spans="1:10" ht="19.5" x14ac:dyDescent="0.25">
      <c r="A5" s="116" t="s">
        <v>4</v>
      </c>
      <c r="B5" s="116" t="s">
        <v>5</v>
      </c>
      <c r="C5" s="125" t="s">
        <v>6</v>
      </c>
      <c r="D5" s="126"/>
      <c r="E5" s="116" t="s">
        <v>9</v>
      </c>
      <c r="F5" s="116" t="s">
        <v>25</v>
      </c>
      <c r="G5" s="116" t="s">
        <v>10</v>
      </c>
      <c r="H5" s="116" t="s">
        <v>11</v>
      </c>
      <c r="I5" s="116" t="s">
        <v>12</v>
      </c>
      <c r="J5" s="118" t="s">
        <v>69</v>
      </c>
    </row>
    <row r="6" spans="1:10" ht="19.5" x14ac:dyDescent="0.25">
      <c r="A6" s="117"/>
      <c r="B6" s="117"/>
      <c r="C6" s="47" t="s">
        <v>7</v>
      </c>
      <c r="D6" s="47" t="s">
        <v>8</v>
      </c>
      <c r="E6" s="117"/>
      <c r="F6" s="117"/>
      <c r="G6" s="117"/>
      <c r="H6" s="117"/>
      <c r="I6" s="117"/>
      <c r="J6" s="119"/>
    </row>
    <row r="7" spans="1:10" ht="18.75" x14ac:dyDescent="0.3">
      <c r="A7" s="48">
        <v>1</v>
      </c>
      <c r="B7" s="49" t="s">
        <v>71</v>
      </c>
      <c r="C7" s="50" t="s">
        <v>164</v>
      </c>
      <c r="D7" s="50" t="s">
        <v>164</v>
      </c>
      <c r="E7" s="51" t="s">
        <v>165</v>
      </c>
      <c r="F7" s="52">
        <v>7</v>
      </c>
      <c r="G7" s="53" t="s">
        <v>75</v>
      </c>
      <c r="H7" s="53" t="s">
        <v>11</v>
      </c>
      <c r="I7" s="53" t="s">
        <v>19</v>
      </c>
      <c r="J7" s="54">
        <v>1660</v>
      </c>
    </row>
    <row r="8" spans="1:10" ht="18.75" x14ac:dyDescent="0.3">
      <c r="A8" s="48">
        <v>2</v>
      </c>
      <c r="B8" s="49" t="s">
        <v>71</v>
      </c>
      <c r="C8" s="50" t="s">
        <v>166</v>
      </c>
      <c r="D8" s="50" t="s">
        <v>166</v>
      </c>
      <c r="E8" s="51" t="s">
        <v>159</v>
      </c>
      <c r="F8" s="52">
        <v>18</v>
      </c>
      <c r="G8" s="53" t="s">
        <v>75</v>
      </c>
      <c r="H8" s="53" t="s">
        <v>11</v>
      </c>
      <c r="I8" s="53" t="s">
        <v>19</v>
      </c>
      <c r="J8" s="54">
        <v>2670</v>
      </c>
    </row>
    <row r="9" spans="1:10" ht="18.75" x14ac:dyDescent="0.3">
      <c r="A9" s="48">
        <v>3</v>
      </c>
      <c r="B9" s="50" t="s">
        <v>167</v>
      </c>
      <c r="C9" s="50" t="s">
        <v>168</v>
      </c>
      <c r="D9" s="50" t="s">
        <v>168</v>
      </c>
      <c r="E9" s="51" t="s">
        <v>165</v>
      </c>
      <c r="F9" s="55">
        <v>17</v>
      </c>
      <c r="G9" s="53" t="s">
        <v>75</v>
      </c>
      <c r="H9" s="53" t="s">
        <v>11</v>
      </c>
      <c r="I9" s="53" t="s">
        <v>19</v>
      </c>
      <c r="J9" s="54">
        <v>19900</v>
      </c>
    </row>
    <row r="10" spans="1:10" ht="18.75" x14ac:dyDescent="0.3">
      <c r="A10" s="48">
        <v>4</v>
      </c>
      <c r="B10" s="50" t="s">
        <v>167</v>
      </c>
      <c r="C10" s="50" t="s">
        <v>169</v>
      </c>
      <c r="D10" s="50" t="s">
        <v>169</v>
      </c>
      <c r="E10" s="51" t="s">
        <v>159</v>
      </c>
      <c r="F10" s="52">
        <v>24</v>
      </c>
      <c r="G10" s="53" t="s">
        <v>75</v>
      </c>
      <c r="H10" s="53" t="s">
        <v>11</v>
      </c>
      <c r="I10" s="53" t="s">
        <v>19</v>
      </c>
      <c r="J10" s="54">
        <v>17370</v>
      </c>
    </row>
    <row r="11" spans="1:10" ht="18.75" x14ac:dyDescent="0.3">
      <c r="A11" s="48">
        <v>5</v>
      </c>
      <c r="B11" s="50" t="s">
        <v>170</v>
      </c>
      <c r="C11" s="50" t="s">
        <v>171</v>
      </c>
      <c r="D11" s="50" t="s">
        <v>172</v>
      </c>
      <c r="E11" s="51" t="s">
        <v>51</v>
      </c>
      <c r="F11" s="55">
        <v>17</v>
      </c>
      <c r="G11" s="60" t="s">
        <v>78</v>
      </c>
      <c r="H11" s="53" t="s">
        <v>11</v>
      </c>
      <c r="I11" s="53" t="s">
        <v>19</v>
      </c>
      <c r="J11" s="54">
        <v>34830</v>
      </c>
    </row>
    <row r="12" spans="1:10" ht="18.75" x14ac:dyDescent="0.3">
      <c r="A12" s="48">
        <v>6</v>
      </c>
      <c r="B12" s="49" t="s">
        <v>173</v>
      </c>
      <c r="C12" s="50" t="s">
        <v>174</v>
      </c>
      <c r="D12" s="50" t="s">
        <v>175</v>
      </c>
      <c r="E12" s="51" t="s">
        <v>51</v>
      </c>
      <c r="F12" s="52">
        <v>32</v>
      </c>
      <c r="G12" s="53" t="s">
        <v>75</v>
      </c>
      <c r="H12" s="53" t="s">
        <v>11</v>
      </c>
      <c r="I12" s="53" t="s">
        <v>19</v>
      </c>
      <c r="J12" s="54">
        <v>60743</v>
      </c>
    </row>
    <row r="13" spans="1:10" ht="31.5" x14ac:dyDescent="0.3">
      <c r="A13" s="48">
        <v>7</v>
      </c>
      <c r="B13" s="56" t="s">
        <v>176</v>
      </c>
      <c r="C13" s="50" t="s">
        <v>177</v>
      </c>
      <c r="D13" s="50" t="s">
        <v>177</v>
      </c>
      <c r="E13" s="51" t="s">
        <v>51</v>
      </c>
      <c r="F13" s="52">
        <v>37</v>
      </c>
      <c r="G13" s="53" t="s">
        <v>178</v>
      </c>
      <c r="H13" s="53" t="s">
        <v>19</v>
      </c>
      <c r="I13" s="53" t="s">
        <v>12</v>
      </c>
      <c r="J13" s="54">
        <v>69855</v>
      </c>
    </row>
    <row r="14" spans="1:10" ht="18.75" x14ac:dyDescent="0.3">
      <c r="A14" s="48">
        <v>8</v>
      </c>
      <c r="B14" s="57" t="s">
        <v>179</v>
      </c>
      <c r="C14" s="50" t="s">
        <v>180</v>
      </c>
      <c r="D14" s="50" t="s">
        <v>181</v>
      </c>
      <c r="E14" s="51" t="s">
        <v>182</v>
      </c>
      <c r="F14" s="52">
        <v>2</v>
      </c>
      <c r="G14" s="53" t="s">
        <v>183</v>
      </c>
      <c r="H14" s="53" t="s">
        <v>19</v>
      </c>
      <c r="I14" s="53" t="s">
        <v>12</v>
      </c>
      <c r="J14" s="54">
        <v>10848</v>
      </c>
    </row>
    <row r="15" spans="1:10" ht="18.75" x14ac:dyDescent="0.3">
      <c r="A15" s="48">
        <v>9</v>
      </c>
      <c r="B15" s="50" t="s">
        <v>184</v>
      </c>
      <c r="C15" s="50" t="s">
        <v>185</v>
      </c>
      <c r="D15" s="50" t="s">
        <v>185</v>
      </c>
      <c r="E15" s="51" t="s">
        <v>51</v>
      </c>
      <c r="F15" s="52">
        <v>21</v>
      </c>
      <c r="G15" s="60" t="s">
        <v>78</v>
      </c>
      <c r="H15" s="53" t="s">
        <v>11</v>
      </c>
      <c r="I15" s="53" t="s">
        <v>19</v>
      </c>
      <c r="J15" s="54">
        <v>4150</v>
      </c>
    </row>
    <row r="16" spans="1:10" ht="18.75" x14ac:dyDescent="0.3">
      <c r="A16" s="48">
        <v>10</v>
      </c>
      <c r="B16" s="57" t="s">
        <v>186</v>
      </c>
      <c r="C16" s="50" t="s">
        <v>187</v>
      </c>
      <c r="D16" s="50" t="s">
        <v>187</v>
      </c>
      <c r="E16" s="51" t="s">
        <v>182</v>
      </c>
      <c r="F16" s="52">
        <v>1</v>
      </c>
      <c r="G16" s="60" t="s">
        <v>188</v>
      </c>
      <c r="H16" s="53"/>
      <c r="I16" s="53" t="s">
        <v>12</v>
      </c>
      <c r="J16" s="54">
        <v>2541.5</v>
      </c>
    </row>
    <row r="17" spans="1:10" ht="18.75" x14ac:dyDescent="0.3">
      <c r="A17" s="48">
        <v>11</v>
      </c>
      <c r="B17" s="57" t="s">
        <v>189</v>
      </c>
      <c r="C17" s="50" t="s">
        <v>190</v>
      </c>
      <c r="D17" s="50" t="s">
        <v>191</v>
      </c>
      <c r="E17" s="51" t="s">
        <v>182</v>
      </c>
      <c r="F17" s="52">
        <v>1</v>
      </c>
      <c r="G17" s="53" t="s">
        <v>192</v>
      </c>
      <c r="H17" s="53"/>
      <c r="I17" s="53" t="s">
        <v>12</v>
      </c>
      <c r="J17" s="54">
        <v>4881.6000000000004</v>
      </c>
    </row>
    <row r="18" spans="1:10" ht="22.5" x14ac:dyDescent="0.45">
      <c r="A18" s="48">
        <v>12</v>
      </c>
      <c r="B18" s="120" t="s">
        <v>193</v>
      </c>
      <c r="C18" s="121"/>
      <c r="D18" s="121"/>
      <c r="E18" s="121"/>
      <c r="F18" s="121"/>
      <c r="G18" s="121"/>
      <c r="H18" s="121"/>
      <c r="I18" s="122"/>
      <c r="J18" s="58">
        <f>SUM(J7:J17)</f>
        <v>229449.1</v>
      </c>
    </row>
    <row r="19" spans="1:10" x14ac:dyDescent="0.2">
      <c r="A19" s="59"/>
      <c r="B19" s="59"/>
      <c r="C19" s="59"/>
      <c r="D19" s="59"/>
      <c r="E19" s="59"/>
      <c r="F19" s="59"/>
      <c r="G19" s="59"/>
      <c r="H19" s="59"/>
      <c r="I19" s="59"/>
    </row>
  </sheetData>
  <mergeCells count="14">
    <mergeCell ref="H5:H6"/>
    <mergeCell ref="I5:I6"/>
    <mergeCell ref="J5:J6"/>
    <mergeCell ref="B18:I18"/>
    <mergeCell ref="A1:J1"/>
    <mergeCell ref="A2:J2"/>
    <mergeCell ref="A3:J3"/>
    <mergeCell ref="A4:J4"/>
    <mergeCell ref="A5:A6"/>
    <mergeCell ref="B5:B6"/>
    <mergeCell ref="C5:D5"/>
    <mergeCell ref="E5:E6"/>
    <mergeCell ref="F5:F6"/>
    <mergeCell ref="G5:G6"/>
  </mergeCells>
  <pageMargins left="0.24" right="0.27" top="0.28999999999999998" bottom="0.75" header="0.3" footer="0.3"/>
  <pageSetup paperSize="9" scale="78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>
      <selection activeCell="A4" sqref="A4:J4"/>
    </sheetView>
  </sheetViews>
  <sheetFormatPr defaultRowHeight="12.75" x14ac:dyDescent="0.2"/>
  <cols>
    <col min="1" max="1" width="6.85546875" bestFit="1" customWidth="1"/>
    <col min="2" max="2" width="48.85546875" bestFit="1" customWidth="1"/>
    <col min="3" max="4" width="13.140625" bestFit="1" customWidth="1"/>
    <col min="5" max="5" width="25.42578125" bestFit="1" customWidth="1"/>
    <col min="6" max="6" width="13.7109375" customWidth="1"/>
    <col min="7" max="7" width="17.140625" customWidth="1"/>
    <col min="8" max="8" width="9.85546875" bestFit="1" customWidth="1"/>
    <col min="9" max="9" width="6.42578125" bestFit="1" customWidth="1"/>
    <col min="10" max="10" width="23.5703125" bestFit="1" customWidth="1"/>
    <col min="257" max="257" width="6.85546875" bestFit="1" customWidth="1"/>
    <col min="258" max="258" width="48.85546875" bestFit="1" customWidth="1"/>
    <col min="259" max="260" width="13.140625" bestFit="1" customWidth="1"/>
    <col min="261" max="261" width="25.42578125" bestFit="1" customWidth="1"/>
    <col min="262" max="262" width="13.7109375" customWidth="1"/>
    <col min="263" max="263" width="17.140625" customWidth="1"/>
    <col min="264" max="264" width="9.85546875" bestFit="1" customWidth="1"/>
    <col min="265" max="265" width="6.42578125" bestFit="1" customWidth="1"/>
    <col min="266" max="266" width="23.5703125" bestFit="1" customWidth="1"/>
    <col min="513" max="513" width="6.85546875" bestFit="1" customWidth="1"/>
    <col min="514" max="514" width="48.85546875" bestFit="1" customWidth="1"/>
    <col min="515" max="516" width="13.140625" bestFit="1" customWidth="1"/>
    <col min="517" max="517" width="25.42578125" bestFit="1" customWidth="1"/>
    <col min="518" max="518" width="13.7109375" customWidth="1"/>
    <col min="519" max="519" width="17.140625" customWidth="1"/>
    <col min="520" max="520" width="9.85546875" bestFit="1" customWidth="1"/>
    <col min="521" max="521" width="6.42578125" bestFit="1" customWidth="1"/>
    <col min="522" max="522" width="23.5703125" bestFit="1" customWidth="1"/>
    <col min="769" max="769" width="6.85546875" bestFit="1" customWidth="1"/>
    <col min="770" max="770" width="48.85546875" bestFit="1" customWidth="1"/>
    <col min="771" max="772" width="13.140625" bestFit="1" customWidth="1"/>
    <col min="773" max="773" width="25.42578125" bestFit="1" customWidth="1"/>
    <col min="774" max="774" width="13.7109375" customWidth="1"/>
    <col min="775" max="775" width="17.140625" customWidth="1"/>
    <col min="776" max="776" width="9.85546875" bestFit="1" customWidth="1"/>
    <col min="777" max="777" width="6.42578125" bestFit="1" customWidth="1"/>
    <col min="778" max="778" width="23.5703125" bestFit="1" customWidth="1"/>
    <col min="1025" max="1025" width="6.85546875" bestFit="1" customWidth="1"/>
    <col min="1026" max="1026" width="48.85546875" bestFit="1" customWidth="1"/>
    <col min="1027" max="1028" width="13.140625" bestFit="1" customWidth="1"/>
    <col min="1029" max="1029" width="25.42578125" bestFit="1" customWidth="1"/>
    <col min="1030" max="1030" width="13.7109375" customWidth="1"/>
    <col min="1031" max="1031" width="17.140625" customWidth="1"/>
    <col min="1032" max="1032" width="9.85546875" bestFit="1" customWidth="1"/>
    <col min="1033" max="1033" width="6.42578125" bestFit="1" customWidth="1"/>
    <col min="1034" max="1034" width="23.5703125" bestFit="1" customWidth="1"/>
    <col min="1281" max="1281" width="6.85546875" bestFit="1" customWidth="1"/>
    <col min="1282" max="1282" width="48.85546875" bestFit="1" customWidth="1"/>
    <col min="1283" max="1284" width="13.140625" bestFit="1" customWidth="1"/>
    <col min="1285" max="1285" width="25.42578125" bestFit="1" customWidth="1"/>
    <col min="1286" max="1286" width="13.7109375" customWidth="1"/>
    <col min="1287" max="1287" width="17.140625" customWidth="1"/>
    <col min="1288" max="1288" width="9.85546875" bestFit="1" customWidth="1"/>
    <col min="1289" max="1289" width="6.42578125" bestFit="1" customWidth="1"/>
    <col min="1290" max="1290" width="23.5703125" bestFit="1" customWidth="1"/>
    <col min="1537" max="1537" width="6.85546875" bestFit="1" customWidth="1"/>
    <col min="1538" max="1538" width="48.85546875" bestFit="1" customWidth="1"/>
    <col min="1539" max="1540" width="13.140625" bestFit="1" customWidth="1"/>
    <col min="1541" max="1541" width="25.42578125" bestFit="1" customWidth="1"/>
    <col min="1542" max="1542" width="13.7109375" customWidth="1"/>
    <col min="1543" max="1543" width="17.140625" customWidth="1"/>
    <col min="1544" max="1544" width="9.85546875" bestFit="1" customWidth="1"/>
    <col min="1545" max="1545" width="6.42578125" bestFit="1" customWidth="1"/>
    <col min="1546" max="1546" width="23.5703125" bestFit="1" customWidth="1"/>
    <col min="1793" max="1793" width="6.85546875" bestFit="1" customWidth="1"/>
    <col min="1794" max="1794" width="48.85546875" bestFit="1" customWidth="1"/>
    <col min="1795" max="1796" width="13.140625" bestFit="1" customWidth="1"/>
    <col min="1797" max="1797" width="25.42578125" bestFit="1" customWidth="1"/>
    <col min="1798" max="1798" width="13.7109375" customWidth="1"/>
    <col min="1799" max="1799" width="17.140625" customWidth="1"/>
    <col min="1800" max="1800" width="9.85546875" bestFit="1" customWidth="1"/>
    <col min="1801" max="1801" width="6.42578125" bestFit="1" customWidth="1"/>
    <col min="1802" max="1802" width="23.5703125" bestFit="1" customWidth="1"/>
    <col min="2049" max="2049" width="6.85546875" bestFit="1" customWidth="1"/>
    <col min="2050" max="2050" width="48.85546875" bestFit="1" customWidth="1"/>
    <col min="2051" max="2052" width="13.140625" bestFit="1" customWidth="1"/>
    <col min="2053" max="2053" width="25.42578125" bestFit="1" customWidth="1"/>
    <col min="2054" max="2054" width="13.7109375" customWidth="1"/>
    <col min="2055" max="2055" width="17.140625" customWidth="1"/>
    <col min="2056" max="2056" width="9.85546875" bestFit="1" customWidth="1"/>
    <col min="2057" max="2057" width="6.42578125" bestFit="1" customWidth="1"/>
    <col min="2058" max="2058" width="23.5703125" bestFit="1" customWidth="1"/>
    <col min="2305" max="2305" width="6.85546875" bestFit="1" customWidth="1"/>
    <col min="2306" max="2306" width="48.85546875" bestFit="1" customWidth="1"/>
    <col min="2307" max="2308" width="13.140625" bestFit="1" customWidth="1"/>
    <col min="2309" max="2309" width="25.42578125" bestFit="1" customWidth="1"/>
    <col min="2310" max="2310" width="13.7109375" customWidth="1"/>
    <col min="2311" max="2311" width="17.140625" customWidth="1"/>
    <col min="2312" max="2312" width="9.85546875" bestFit="1" customWidth="1"/>
    <col min="2313" max="2313" width="6.42578125" bestFit="1" customWidth="1"/>
    <col min="2314" max="2314" width="23.5703125" bestFit="1" customWidth="1"/>
    <col min="2561" max="2561" width="6.85546875" bestFit="1" customWidth="1"/>
    <col min="2562" max="2562" width="48.85546875" bestFit="1" customWidth="1"/>
    <col min="2563" max="2564" width="13.140625" bestFit="1" customWidth="1"/>
    <col min="2565" max="2565" width="25.42578125" bestFit="1" customWidth="1"/>
    <col min="2566" max="2566" width="13.7109375" customWidth="1"/>
    <col min="2567" max="2567" width="17.140625" customWidth="1"/>
    <col min="2568" max="2568" width="9.85546875" bestFit="1" customWidth="1"/>
    <col min="2569" max="2569" width="6.42578125" bestFit="1" customWidth="1"/>
    <col min="2570" max="2570" width="23.5703125" bestFit="1" customWidth="1"/>
    <col min="2817" max="2817" width="6.85546875" bestFit="1" customWidth="1"/>
    <col min="2818" max="2818" width="48.85546875" bestFit="1" customWidth="1"/>
    <col min="2819" max="2820" width="13.140625" bestFit="1" customWidth="1"/>
    <col min="2821" max="2821" width="25.42578125" bestFit="1" customWidth="1"/>
    <col min="2822" max="2822" width="13.7109375" customWidth="1"/>
    <col min="2823" max="2823" width="17.140625" customWidth="1"/>
    <col min="2824" max="2824" width="9.85546875" bestFit="1" customWidth="1"/>
    <col min="2825" max="2825" width="6.42578125" bestFit="1" customWidth="1"/>
    <col min="2826" max="2826" width="23.5703125" bestFit="1" customWidth="1"/>
    <col min="3073" max="3073" width="6.85546875" bestFit="1" customWidth="1"/>
    <col min="3074" max="3074" width="48.85546875" bestFit="1" customWidth="1"/>
    <col min="3075" max="3076" width="13.140625" bestFit="1" customWidth="1"/>
    <col min="3077" max="3077" width="25.42578125" bestFit="1" customWidth="1"/>
    <col min="3078" max="3078" width="13.7109375" customWidth="1"/>
    <col min="3079" max="3079" width="17.140625" customWidth="1"/>
    <col min="3080" max="3080" width="9.85546875" bestFit="1" customWidth="1"/>
    <col min="3081" max="3081" width="6.42578125" bestFit="1" customWidth="1"/>
    <col min="3082" max="3082" width="23.5703125" bestFit="1" customWidth="1"/>
    <col min="3329" max="3329" width="6.85546875" bestFit="1" customWidth="1"/>
    <col min="3330" max="3330" width="48.85546875" bestFit="1" customWidth="1"/>
    <col min="3331" max="3332" width="13.140625" bestFit="1" customWidth="1"/>
    <col min="3333" max="3333" width="25.42578125" bestFit="1" customWidth="1"/>
    <col min="3334" max="3334" width="13.7109375" customWidth="1"/>
    <col min="3335" max="3335" width="17.140625" customWidth="1"/>
    <col min="3336" max="3336" width="9.85546875" bestFit="1" customWidth="1"/>
    <col min="3337" max="3337" width="6.42578125" bestFit="1" customWidth="1"/>
    <col min="3338" max="3338" width="23.5703125" bestFit="1" customWidth="1"/>
    <col min="3585" max="3585" width="6.85546875" bestFit="1" customWidth="1"/>
    <col min="3586" max="3586" width="48.85546875" bestFit="1" customWidth="1"/>
    <col min="3587" max="3588" width="13.140625" bestFit="1" customWidth="1"/>
    <col min="3589" max="3589" width="25.42578125" bestFit="1" customWidth="1"/>
    <col min="3590" max="3590" width="13.7109375" customWidth="1"/>
    <col min="3591" max="3591" width="17.140625" customWidth="1"/>
    <col min="3592" max="3592" width="9.85546875" bestFit="1" customWidth="1"/>
    <col min="3593" max="3593" width="6.42578125" bestFit="1" customWidth="1"/>
    <col min="3594" max="3594" width="23.5703125" bestFit="1" customWidth="1"/>
    <col min="3841" max="3841" width="6.85546875" bestFit="1" customWidth="1"/>
    <col min="3842" max="3842" width="48.85546875" bestFit="1" customWidth="1"/>
    <col min="3843" max="3844" width="13.140625" bestFit="1" customWidth="1"/>
    <col min="3845" max="3845" width="25.42578125" bestFit="1" customWidth="1"/>
    <col min="3846" max="3846" width="13.7109375" customWidth="1"/>
    <col min="3847" max="3847" width="17.140625" customWidth="1"/>
    <col min="3848" max="3848" width="9.85546875" bestFit="1" customWidth="1"/>
    <col min="3849" max="3849" width="6.42578125" bestFit="1" customWidth="1"/>
    <col min="3850" max="3850" width="23.5703125" bestFit="1" customWidth="1"/>
    <col min="4097" max="4097" width="6.85546875" bestFit="1" customWidth="1"/>
    <col min="4098" max="4098" width="48.85546875" bestFit="1" customWidth="1"/>
    <col min="4099" max="4100" width="13.140625" bestFit="1" customWidth="1"/>
    <col min="4101" max="4101" width="25.42578125" bestFit="1" customWidth="1"/>
    <col min="4102" max="4102" width="13.7109375" customWidth="1"/>
    <col min="4103" max="4103" width="17.140625" customWidth="1"/>
    <col min="4104" max="4104" width="9.85546875" bestFit="1" customWidth="1"/>
    <col min="4105" max="4105" width="6.42578125" bestFit="1" customWidth="1"/>
    <col min="4106" max="4106" width="23.5703125" bestFit="1" customWidth="1"/>
    <col min="4353" max="4353" width="6.85546875" bestFit="1" customWidth="1"/>
    <col min="4354" max="4354" width="48.85546875" bestFit="1" customWidth="1"/>
    <col min="4355" max="4356" width="13.140625" bestFit="1" customWidth="1"/>
    <col min="4357" max="4357" width="25.42578125" bestFit="1" customWidth="1"/>
    <col min="4358" max="4358" width="13.7109375" customWidth="1"/>
    <col min="4359" max="4359" width="17.140625" customWidth="1"/>
    <col min="4360" max="4360" width="9.85546875" bestFit="1" customWidth="1"/>
    <col min="4361" max="4361" width="6.42578125" bestFit="1" customWidth="1"/>
    <col min="4362" max="4362" width="23.5703125" bestFit="1" customWidth="1"/>
    <col min="4609" max="4609" width="6.85546875" bestFit="1" customWidth="1"/>
    <col min="4610" max="4610" width="48.85546875" bestFit="1" customWidth="1"/>
    <col min="4611" max="4612" width="13.140625" bestFit="1" customWidth="1"/>
    <col min="4613" max="4613" width="25.42578125" bestFit="1" customWidth="1"/>
    <col min="4614" max="4614" width="13.7109375" customWidth="1"/>
    <col min="4615" max="4615" width="17.140625" customWidth="1"/>
    <col min="4616" max="4616" width="9.85546875" bestFit="1" customWidth="1"/>
    <col min="4617" max="4617" width="6.42578125" bestFit="1" customWidth="1"/>
    <col min="4618" max="4618" width="23.5703125" bestFit="1" customWidth="1"/>
    <col min="4865" max="4865" width="6.85546875" bestFit="1" customWidth="1"/>
    <col min="4866" max="4866" width="48.85546875" bestFit="1" customWidth="1"/>
    <col min="4867" max="4868" width="13.140625" bestFit="1" customWidth="1"/>
    <col min="4869" max="4869" width="25.42578125" bestFit="1" customWidth="1"/>
    <col min="4870" max="4870" width="13.7109375" customWidth="1"/>
    <col min="4871" max="4871" width="17.140625" customWidth="1"/>
    <col min="4872" max="4872" width="9.85546875" bestFit="1" customWidth="1"/>
    <col min="4873" max="4873" width="6.42578125" bestFit="1" customWidth="1"/>
    <col min="4874" max="4874" width="23.5703125" bestFit="1" customWidth="1"/>
    <col min="5121" max="5121" width="6.85546875" bestFit="1" customWidth="1"/>
    <col min="5122" max="5122" width="48.85546875" bestFit="1" customWidth="1"/>
    <col min="5123" max="5124" width="13.140625" bestFit="1" customWidth="1"/>
    <col min="5125" max="5125" width="25.42578125" bestFit="1" customWidth="1"/>
    <col min="5126" max="5126" width="13.7109375" customWidth="1"/>
    <col min="5127" max="5127" width="17.140625" customWidth="1"/>
    <col min="5128" max="5128" width="9.85546875" bestFit="1" customWidth="1"/>
    <col min="5129" max="5129" width="6.42578125" bestFit="1" customWidth="1"/>
    <col min="5130" max="5130" width="23.5703125" bestFit="1" customWidth="1"/>
    <col min="5377" max="5377" width="6.85546875" bestFit="1" customWidth="1"/>
    <col min="5378" max="5378" width="48.85546875" bestFit="1" customWidth="1"/>
    <col min="5379" max="5380" width="13.140625" bestFit="1" customWidth="1"/>
    <col min="5381" max="5381" width="25.42578125" bestFit="1" customWidth="1"/>
    <col min="5382" max="5382" width="13.7109375" customWidth="1"/>
    <col min="5383" max="5383" width="17.140625" customWidth="1"/>
    <col min="5384" max="5384" width="9.85546875" bestFit="1" customWidth="1"/>
    <col min="5385" max="5385" width="6.42578125" bestFit="1" customWidth="1"/>
    <col min="5386" max="5386" width="23.5703125" bestFit="1" customWidth="1"/>
    <col min="5633" max="5633" width="6.85546875" bestFit="1" customWidth="1"/>
    <col min="5634" max="5634" width="48.85546875" bestFit="1" customWidth="1"/>
    <col min="5635" max="5636" width="13.140625" bestFit="1" customWidth="1"/>
    <col min="5637" max="5637" width="25.42578125" bestFit="1" customWidth="1"/>
    <col min="5638" max="5638" width="13.7109375" customWidth="1"/>
    <col min="5639" max="5639" width="17.140625" customWidth="1"/>
    <col min="5640" max="5640" width="9.85546875" bestFit="1" customWidth="1"/>
    <col min="5641" max="5641" width="6.42578125" bestFit="1" customWidth="1"/>
    <col min="5642" max="5642" width="23.5703125" bestFit="1" customWidth="1"/>
    <col min="5889" max="5889" width="6.85546875" bestFit="1" customWidth="1"/>
    <col min="5890" max="5890" width="48.85546875" bestFit="1" customWidth="1"/>
    <col min="5891" max="5892" width="13.140625" bestFit="1" customWidth="1"/>
    <col min="5893" max="5893" width="25.42578125" bestFit="1" customWidth="1"/>
    <col min="5894" max="5894" width="13.7109375" customWidth="1"/>
    <col min="5895" max="5895" width="17.140625" customWidth="1"/>
    <col min="5896" max="5896" width="9.85546875" bestFit="1" customWidth="1"/>
    <col min="5897" max="5897" width="6.42578125" bestFit="1" customWidth="1"/>
    <col min="5898" max="5898" width="23.5703125" bestFit="1" customWidth="1"/>
    <col min="6145" max="6145" width="6.85546875" bestFit="1" customWidth="1"/>
    <col min="6146" max="6146" width="48.85546875" bestFit="1" customWidth="1"/>
    <col min="6147" max="6148" width="13.140625" bestFit="1" customWidth="1"/>
    <col min="6149" max="6149" width="25.42578125" bestFit="1" customWidth="1"/>
    <col min="6150" max="6150" width="13.7109375" customWidth="1"/>
    <col min="6151" max="6151" width="17.140625" customWidth="1"/>
    <col min="6152" max="6152" width="9.85546875" bestFit="1" customWidth="1"/>
    <col min="6153" max="6153" width="6.42578125" bestFit="1" customWidth="1"/>
    <col min="6154" max="6154" width="23.5703125" bestFit="1" customWidth="1"/>
    <col min="6401" max="6401" width="6.85546875" bestFit="1" customWidth="1"/>
    <col min="6402" max="6402" width="48.85546875" bestFit="1" customWidth="1"/>
    <col min="6403" max="6404" width="13.140625" bestFit="1" customWidth="1"/>
    <col min="6405" max="6405" width="25.42578125" bestFit="1" customWidth="1"/>
    <col min="6406" max="6406" width="13.7109375" customWidth="1"/>
    <col min="6407" max="6407" width="17.140625" customWidth="1"/>
    <col min="6408" max="6408" width="9.85546875" bestFit="1" customWidth="1"/>
    <col min="6409" max="6409" width="6.42578125" bestFit="1" customWidth="1"/>
    <col min="6410" max="6410" width="23.5703125" bestFit="1" customWidth="1"/>
    <col min="6657" max="6657" width="6.85546875" bestFit="1" customWidth="1"/>
    <col min="6658" max="6658" width="48.85546875" bestFit="1" customWidth="1"/>
    <col min="6659" max="6660" width="13.140625" bestFit="1" customWidth="1"/>
    <col min="6661" max="6661" width="25.42578125" bestFit="1" customWidth="1"/>
    <col min="6662" max="6662" width="13.7109375" customWidth="1"/>
    <col min="6663" max="6663" width="17.140625" customWidth="1"/>
    <col min="6664" max="6664" width="9.85546875" bestFit="1" customWidth="1"/>
    <col min="6665" max="6665" width="6.42578125" bestFit="1" customWidth="1"/>
    <col min="6666" max="6666" width="23.5703125" bestFit="1" customWidth="1"/>
    <col min="6913" max="6913" width="6.85546875" bestFit="1" customWidth="1"/>
    <col min="6914" max="6914" width="48.85546875" bestFit="1" customWidth="1"/>
    <col min="6915" max="6916" width="13.140625" bestFit="1" customWidth="1"/>
    <col min="6917" max="6917" width="25.42578125" bestFit="1" customWidth="1"/>
    <col min="6918" max="6918" width="13.7109375" customWidth="1"/>
    <col min="6919" max="6919" width="17.140625" customWidth="1"/>
    <col min="6920" max="6920" width="9.85546875" bestFit="1" customWidth="1"/>
    <col min="6921" max="6921" width="6.42578125" bestFit="1" customWidth="1"/>
    <col min="6922" max="6922" width="23.5703125" bestFit="1" customWidth="1"/>
    <col min="7169" max="7169" width="6.85546875" bestFit="1" customWidth="1"/>
    <col min="7170" max="7170" width="48.85546875" bestFit="1" customWidth="1"/>
    <col min="7171" max="7172" width="13.140625" bestFit="1" customWidth="1"/>
    <col min="7173" max="7173" width="25.42578125" bestFit="1" customWidth="1"/>
    <col min="7174" max="7174" width="13.7109375" customWidth="1"/>
    <col min="7175" max="7175" width="17.140625" customWidth="1"/>
    <col min="7176" max="7176" width="9.85546875" bestFit="1" customWidth="1"/>
    <col min="7177" max="7177" width="6.42578125" bestFit="1" customWidth="1"/>
    <col min="7178" max="7178" width="23.5703125" bestFit="1" customWidth="1"/>
    <col min="7425" max="7425" width="6.85546875" bestFit="1" customWidth="1"/>
    <col min="7426" max="7426" width="48.85546875" bestFit="1" customWidth="1"/>
    <col min="7427" max="7428" width="13.140625" bestFit="1" customWidth="1"/>
    <col min="7429" max="7429" width="25.42578125" bestFit="1" customWidth="1"/>
    <col min="7430" max="7430" width="13.7109375" customWidth="1"/>
    <col min="7431" max="7431" width="17.140625" customWidth="1"/>
    <col min="7432" max="7432" width="9.85546875" bestFit="1" customWidth="1"/>
    <col min="7433" max="7433" width="6.42578125" bestFit="1" customWidth="1"/>
    <col min="7434" max="7434" width="23.5703125" bestFit="1" customWidth="1"/>
    <col min="7681" max="7681" width="6.85546875" bestFit="1" customWidth="1"/>
    <col min="7682" max="7682" width="48.85546875" bestFit="1" customWidth="1"/>
    <col min="7683" max="7684" width="13.140625" bestFit="1" customWidth="1"/>
    <col min="7685" max="7685" width="25.42578125" bestFit="1" customWidth="1"/>
    <col min="7686" max="7686" width="13.7109375" customWidth="1"/>
    <col min="7687" max="7687" width="17.140625" customWidth="1"/>
    <col min="7688" max="7688" width="9.85546875" bestFit="1" customWidth="1"/>
    <col min="7689" max="7689" width="6.42578125" bestFit="1" customWidth="1"/>
    <col min="7690" max="7690" width="23.5703125" bestFit="1" customWidth="1"/>
    <col min="7937" max="7937" width="6.85546875" bestFit="1" customWidth="1"/>
    <col min="7938" max="7938" width="48.85546875" bestFit="1" customWidth="1"/>
    <col min="7939" max="7940" width="13.140625" bestFit="1" customWidth="1"/>
    <col min="7941" max="7941" width="25.42578125" bestFit="1" customWidth="1"/>
    <col min="7942" max="7942" width="13.7109375" customWidth="1"/>
    <col min="7943" max="7943" width="17.140625" customWidth="1"/>
    <col min="7944" max="7944" width="9.85546875" bestFit="1" customWidth="1"/>
    <col min="7945" max="7945" width="6.42578125" bestFit="1" customWidth="1"/>
    <col min="7946" max="7946" width="23.5703125" bestFit="1" customWidth="1"/>
    <col min="8193" max="8193" width="6.85546875" bestFit="1" customWidth="1"/>
    <col min="8194" max="8194" width="48.85546875" bestFit="1" customWidth="1"/>
    <col min="8195" max="8196" width="13.140625" bestFit="1" customWidth="1"/>
    <col min="8197" max="8197" width="25.42578125" bestFit="1" customWidth="1"/>
    <col min="8198" max="8198" width="13.7109375" customWidth="1"/>
    <col min="8199" max="8199" width="17.140625" customWidth="1"/>
    <col min="8200" max="8200" width="9.85546875" bestFit="1" customWidth="1"/>
    <col min="8201" max="8201" width="6.42578125" bestFit="1" customWidth="1"/>
    <col min="8202" max="8202" width="23.5703125" bestFit="1" customWidth="1"/>
    <col min="8449" max="8449" width="6.85546875" bestFit="1" customWidth="1"/>
    <col min="8450" max="8450" width="48.85546875" bestFit="1" customWidth="1"/>
    <col min="8451" max="8452" width="13.140625" bestFit="1" customWidth="1"/>
    <col min="8453" max="8453" width="25.42578125" bestFit="1" customWidth="1"/>
    <col min="8454" max="8454" width="13.7109375" customWidth="1"/>
    <col min="8455" max="8455" width="17.140625" customWidth="1"/>
    <col min="8456" max="8456" width="9.85546875" bestFit="1" customWidth="1"/>
    <col min="8457" max="8457" width="6.42578125" bestFit="1" customWidth="1"/>
    <col min="8458" max="8458" width="23.5703125" bestFit="1" customWidth="1"/>
    <col min="8705" max="8705" width="6.85546875" bestFit="1" customWidth="1"/>
    <col min="8706" max="8706" width="48.85546875" bestFit="1" customWidth="1"/>
    <col min="8707" max="8708" width="13.140625" bestFit="1" customWidth="1"/>
    <col min="8709" max="8709" width="25.42578125" bestFit="1" customWidth="1"/>
    <col min="8710" max="8710" width="13.7109375" customWidth="1"/>
    <col min="8711" max="8711" width="17.140625" customWidth="1"/>
    <col min="8712" max="8712" width="9.85546875" bestFit="1" customWidth="1"/>
    <col min="8713" max="8713" width="6.42578125" bestFit="1" customWidth="1"/>
    <col min="8714" max="8714" width="23.5703125" bestFit="1" customWidth="1"/>
    <col min="8961" max="8961" width="6.85546875" bestFit="1" customWidth="1"/>
    <col min="8962" max="8962" width="48.85546875" bestFit="1" customWidth="1"/>
    <col min="8963" max="8964" width="13.140625" bestFit="1" customWidth="1"/>
    <col min="8965" max="8965" width="25.42578125" bestFit="1" customWidth="1"/>
    <col min="8966" max="8966" width="13.7109375" customWidth="1"/>
    <col min="8967" max="8967" width="17.140625" customWidth="1"/>
    <col min="8968" max="8968" width="9.85546875" bestFit="1" customWidth="1"/>
    <col min="8969" max="8969" width="6.42578125" bestFit="1" customWidth="1"/>
    <col min="8970" max="8970" width="23.5703125" bestFit="1" customWidth="1"/>
    <col min="9217" max="9217" width="6.85546875" bestFit="1" customWidth="1"/>
    <col min="9218" max="9218" width="48.85546875" bestFit="1" customWidth="1"/>
    <col min="9219" max="9220" width="13.140625" bestFit="1" customWidth="1"/>
    <col min="9221" max="9221" width="25.42578125" bestFit="1" customWidth="1"/>
    <col min="9222" max="9222" width="13.7109375" customWidth="1"/>
    <col min="9223" max="9223" width="17.140625" customWidth="1"/>
    <col min="9224" max="9224" width="9.85546875" bestFit="1" customWidth="1"/>
    <col min="9225" max="9225" width="6.42578125" bestFit="1" customWidth="1"/>
    <col min="9226" max="9226" width="23.5703125" bestFit="1" customWidth="1"/>
    <col min="9473" max="9473" width="6.85546875" bestFit="1" customWidth="1"/>
    <col min="9474" max="9474" width="48.85546875" bestFit="1" customWidth="1"/>
    <col min="9475" max="9476" width="13.140625" bestFit="1" customWidth="1"/>
    <col min="9477" max="9477" width="25.42578125" bestFit="1" customWidth="1"/>
    <col min="9478" max="9478" width="13.7109375" customWidth="1"/>
    <col min="9479" max="9479" width="17.140625" customWidth="1"/>
    <col min="9480" max="9480" width="9.85546875" bestFit="1" customWidth="1"/>
    <col min="9481" max="9481" width="6.42578125" bestFit="1" customWidth="1"/>
    <col min="9482" max="9482" width="23.5703125" bestFit="1" customWidth="1"/>
    <col min="9729" max="9729" width="6.85546875" bestFit="1" customWidth="1"/>
    <col min="9730" max="9730" width="48.85546875" bestFit="1" customWidth="1"/>
    <col min="9731" max="9732" width="13.140625" bestFit="1" customWidth="1"/>
    <col min="9733" max="9733" width="25.42578125" bestFit="1" customWidth="1"/>
    <col min="9734" max="9734" width="13.7109375" customWidth="1"/>
    <col min="9735" max="9735" width="17.140625" customWidth="1"/>
    <col min="9736" max="9736" width="9.85546875" bestFit="1" customWidth="1"/>
    <col min="9737" max="9737" width="6.42578125" bestFit="1" customWidth="1"/>
    <col min="9738" max="9738" width="23.5703125" bestFit="1" customWidth="1"/>
    <col min="9985" max="9985" width="6.85546875" bestFit="1" customWidth="1"/>
    <col min="9986" max="9986" width="48.85546875" bestFit="1" customWidth="1"/>
    <col min="9987" max="9988" width="13.140625" bestFit="1" customWidth="1"/>
    <col min="9989" max="9989" width="25.42578125" bestFit="1" customWidth="1"/>
    <col min="9990" max="9990" width="13.7109375" customWidth="1"/>
    <col min="9991" max="9991" width="17.140625" customWidth="1"/>
    <col min="9992" max="9992" width="9.85546875" bestFit="1" customWidth="1"/>
    <col min="9993" max="9993" width="6.42578125" bestFit="1" customWidth="1"/>
    <col min="9994" max="9994" width="23.5703125" bestFit="1" customWidth="1"/>
    <col min="10241" max="10241" width="6.85546875" bestFit="1" customWidth="1"/>
    <col min="10242" max="10242" width="48.85546875" bestFit="1" customWidth="1"/>
    <col min="10243" max="10244" width="13.140625" bestFit="1" customWidth="1"/>
    <col min="10245" max="10245" width="25.42578125" bestFit="1" customWidth="1"/>
    <col min="10246" max="10246" width="13.7109375" customWidth="1"/>
    <col min="10247" max="10247" width="17.140625" customWidth="1"/>
    <col min="10248" max="10248" width="9.85546875" bestFit="1" customWidth="1"/>
    <col min="10249" max="10249" width="6.42578125" bestFit="1" customWidth="1"/>
    <col min="10250" max="10250" width="23.5703125" bestFit="1" customWidth="1"/>
    <col min="10497" max="10497" width="6.85546875" bestFit="1" customWidth="1"/>
    <col min="10498" max="10498" width="48.85546875" bestFit="1" customWidth="1"/>
    <col min="10499" max="10500" width="13.140625" bestFit="1" customWidth="1"/>
    <col min="10501" max="10501" width="25.42578125" bestFit="1" customWidth="1"/>
    <col min="10502" max="10502" width="13.7109375" customWidth="1"/>
    <col min="10503" max="10503" width="17.140625" customWidth="1"/>
    <col min="10504" max="10504" width="9.85546875" bestFit="1" customWidth="1"/>
    <col min="10505" max="10505" width="6.42578125" bestFit="1" customWidth="1"/>
    <col min="10506" max="10506" width="23.5703125" bestFit="1" customWidth="1"/>
    <col min="10753" max="10753" width="6.85546875" bestFit="1" customWidth="1"/>
    <col min="10754" max="10754" width="48.85546875" bestFit="1" customWidth="1"/>
    <col min="10755" max="10756" width="13.140625" bestFit="1" customWidth="1"/>
    <col min="10757" max="10757" width="25.42578125" bestFit="1" customWidth="1"/>
    <col min="10758" max="10758" width="13.7109375" customWidth="1"/>
    <col min="10759" max="10759" width="17.140625" customWidth="1"/>
    <col min="10760" max="10760" width="9.85546875" bestFit="1" customWidth="1"/>
    <col min="10761" max="10761" width="6.42578125" bestFit="1" customWidth="1"/>
    <col min="10762" max="10762" width="23.5703125" bestFit="1" customWidth="1"/>
    <col min="11009" max="11009" width="6.85546875" bestFit="1" customWidth="1"/>
    <col min="11010" max="11010" width="48.85546875" bestFit="1" customWidth="1"/>
    <col min="11011" max="11012" width="13.140625" bestFit="1" customWidth="1"/>
    <col min="11013" max="11013" width="25.42578125" bestFit="1" customWidth="1"/>
    <col min="11014" max="11014" width="13.7109375" customWidth="1"/>
    <col min="11015" max="11015" width="17.140625" customWidth="1"/>
    <col min="11016" max="11016" width="9.85546875" bestFit="1" customWidth="1"/>
    <col min="11017" max="11017" width="6.42578125" bestFit="1" customWidth="1"/>
    <col min="11018" max="11018" width="23.5703125" bestFit="1" customWidth="1"/>
    <col min="11265" max="11265" width="6.85546875" bestFit="1" customWidth="1"/>
    <col min="11266" max="11266" width="48.85546875" bestFit="1" customWidth="1"/>
    <col min="11267" max="11268" width="13.140625" bestFit="1" customWidth="1"/>
    <col min="11269" max="11269" width="25.42578125" bestFit="1" customWidth="1"/>
    <col min="11270" max="11270" width="13.7109375" customWidth="1"/>
    <col min="11271" max="11271" width="17.140625" customWidth="1"/>
    <col min="11272" max="11272" width="9.85546875" bestFit="1" customWidth="1"/>
    <col min="11273" max="11273" width="6.42578125" bestFit="1" customWidth="1"/>
    <col min="11274" max="11274" width="23.5703125" bestFit="1" customWidth="1"/>
    <col min="11521" max="11521" width="6.85546875" bestFit="1" customWidth="1"/>
    <col min="11522" max="11522" width="48.85546875" bestFit="1" customWidth="1"/>
    <col min="11523" max="11524" width="13.140625" bestFit="1" customWidth="1"/>
    <col min="11525" max="11525" width="25.42578125" bestFit="1" customWidth="1"/>
    <col min="11526" max="11526" width="13.7109375" customWidth="1"/>
    <col min="11527" max="11527" width="17.140625" customWidth="1"/>
    <col min="11528" max="11528" width="9.85546875" bestFit="1" customWidth="1"/>
    <col min="11529" max="11529" width="6.42578125" bestFit="1" customWidth="1"/>
    <col min="11530" max="11530" width="23.5703125" bestFit="1" customWidth="1"/>
    <col min="11777" max="11777" width="6.85546875" bestFit="1" customWidth="1"/>
    <col min="11778" max="11778" width="48.85546875" bestFit="1" customWidth="1"/>
    <col min="11779" max="11780" width="13.140625" bestFit="1" customWidth="1"/>
    <col min="11781" max="11781" width="25.42578125" bestFit="1" customWidth="1"/>
    <col min="11782" max="11782" width="13.7109375" customWidth="1"/>
    <col min="11783" max="11783" width="17.140625" customWidth="1"/>
    <col min="11784" max="11784" width="9.85546875" bestFit="1" customWidth="1"/>
    <col min="11785" max="11785" width="6.42578125" bestFit="1" customWidth="1"/>
    <col min="11786" max="11786" width="23.5703125" bestFit="1" customWidth="1"/>
    <col min="12033" max="12033" width="6.85546875" bestFit="1" customWidth="1"/>
    <col min="12034" max="12034" width="48.85546875" bestFit="1" customWidth="1"/>
    <col min="12035" max="12036" width="13.140625" bestFit="1" customWidth="1"/>
    <col min="12037" max="12037" width="25.42578125" bestFit="1" customWidth="1"/>
    <col min="12038" max="12038" width="13.7109375" customWidth="1"/>
    <col min="12039" max="12039" width="17.140625" customWidth="1"/>
    <col min="12040" max="12040" width="9.85546875" bestFit="1" customWidth="1"/>
    <col min="12041" max="12041" width="6.42578125" bestFit="1" customWidth="1"/>
    <col min="12042" max="12042" width="23.5703125" bestFit="1" customWidth="1"/>
    <col min="12289" max="12289" width="6.85546875" bestFit="1" customWidth="1"/>
    <col min="12290" max="12290" width="48.85546875" bestFit="1" customWidth="1"/>
    <col min="12291" max="12292" width="13.140625" bestFit="1" customWidth="1"/>
    <col min="12293" max="12293" width="25.42578125" bestFit="1" customWidth="1"/>
    <col min="12294" max="12294" width="13.7109375" customWidth="1"/>
    <col min="12295" max="12295" width="17.140625" customWidth="1"/>
    <col min="12296" max="12296" width="9.85546875" bestFit="1" customWidth="1"/>
    <col min="12297" max="12297" width="6.42578125" bestFit="1" customWidth="1"/>
    <col min="12298" max="12298" width="23.5703125" bestFit="1" customWidth="1"/>
    <col min="12545" max="12545" width="6.85546875" bestFit="1" customWidth="1"/>
    <col min="12546" max="12546" width="48.85546875" bestFit="1" customWidth="1"/>
    <col min="12547" max="12548" width="13.140625" bestFit="1" customWidth="1"/>
    <col min="12549" max="12549" width="25.42578125" bestFit="1" customWidth="1"/>
    <col min="12550" max="12550" width="13.7109375" customWidth="1"/>
    <col min="12551" max="12551" width="17.140625" customWidth="1"/>
    <col min="12552" max="12552" width="9.85546875" bestFit="1" customWidth="1"/>
    <col min="12553" max="12553" width="6.42578125" bestFit="1" customWidth="1"/>
    <col min="12554" max="12554" width="23.5703125" bestFit="1" customWidth="1"/>
    <col min="12801" max="12801" width="6.85546875" bestFit="1" customWidth="1"/>
    <col min="12802" max="12802" width="48.85546875" bestFit="1" customWidth="1"/>
    <col min="12803" max="12804" width="13.140625" bestFit="1" customWidth="1"/>
    <col min="12805" max="12805" width="25.42578125" bestFit="1" customWidth="1"/>
    <col min="12806" max="12806" width="13.7109375" customWidth="1"/>
    <col min="12807" max="12807" width="17.140625" customWidth="1"/>
    <col min="12808" max="12808" width="9.85546875" bestFit="1" customWidth="1"/>
    <col min="12809" max="12809" width="6.42578125" bestFit="1" customWidth="1"/>
    <col min="12810" max="12810" width="23.5703125" bestFit="1" customWidth="1"/>
    <col min="13057" max="13057" width="6.85546875" bestFit="1" customWidth="1"/>
    <col min="13058" max="13058" width="48.85546875" bestFit="1" customWidth="1"/>
    <col min="13059" max="13060" width="13.140625" bestFit="1" customWidth="1"/>
    <col min="13061" max="13061" width="25.42578125" bestFit="1" customWidth="1"/>
    <col min="13062" max="13062" width="13.7109375" customWidth="1"/>
    <col min="13063" max="13063" width="17.140625" customWidth="1"/>
    <col min="13064" max="13064" width="9.85546875" bestFit="1" customWidth="1"/>
    <col min="13065" max="13065" width="6.42578125" bestFit="1" customWidth="1"/>
    <col min="13066" max="13066" width="23.5703125" bestFit="1" customWidth="1"/>
    <col min="13313" max="13313" width="6.85546875" bestFit="1" customWidth="1"/>
    <col min="13314" max="13314" width="48.85546875" bestFit="1" customWidth="1"/>
    <col min="13315" max="13316" width="13.140625" bestFit="1" customWidth="1"/>
    <col min="13317" max="13317" width="25.42578125" bestFit="1" customWidth="1"/>
    <col min="13318" max="13318" width="13.7109375" customWidth="1"/>
    <col min="13319" max="13319" width="17.140625" customWidth="1"/>
    <col min="13320" max="13320" width="9.85546875" bestFit="1" customWidth="1"/>
    <col min="13321" max="13321" width="6.42578125" bestFit="1" customWidth="1"/>
    <col min="13322" max="13322" width="23.5703125" bestFit="1" customWidth="1"/>
    <col min="13569" max="13569" width="6.85546875" bestFit="1" customWidth="1"/>
    <col min="13570" max="13570" width="48.85546875" bestFit="1" customWidth="1"/>
    <col min="13571" max="13572" width="13.140625" bestFit="1" customWidth="1"/>
    <col min="13573" max="13573" width="25.42578125" bestFit="1" customWidth="1"/>
    <col min="13574" max="13574" width="13.7109375" customWidth="1"/>
    <col min="13575" max="13575" width="17.140625" customWidth="1"/>
    <col min="13576" max="13576" width="9.85546875" bestFit="1" customWidth="1"/>
    <col min="13577" max="13577" width="6.42578125" bestFit="1" customWidth="1"/>
    <col min="13578" max="13578" width="23.5703125" bestFit="1" customWidth="1"/>
    <col min="13825" max="13825" width="6.85546875" bestFit="1" customWidth="1"/>
    <col min="13826" max="13826" width="48.85546875" bestFit="1" customWidth="1"/>
    <col min="13827" max="13828" width="13.140625" bestFit="1" customWidth="1"/>
    <col min="13829" max="13829" width="25.42578125" bestFit="1" customWidth="1"/>
    <col min="13830" max="13830" width="13.7109375" customWidth="1"/>
    <col min="13831" max="13831" width="17.140625" customWidth="1"/>
    <col min="13832" max="13832" width="9.85546875" bestFit="1" customWidth="1"/>
    <col min="13833" max="13833" width="6.42578125" bestFit="1" customWidth="1"/>
    <col min="13834" max="13834" width="23.5703125" bestFit="1" customWidth="1"/>
    <col min="14081" max="14081" width="6.85546875" bestFit="1" customWidth="1"/>
    <col min="14082" max="14082" width="48.85546875" bestFit="1" customWidth="1"/>
    <col min="14083" max="14084" width="13.140625" bestFit="1" customWidth="1"/>
    <col min="14085" max="14085" width="25.42578125" bestFit="1" customWidth="1"/>
    <col min="14086" max="14086" width="13.7109375" customWidth="1"/>
    <col min="14087" max="14087" width="17.140625" customWidth="1"/>
    <col min="14088" max="14088" width="9.85546875" bestFit="1" customWidth="1"/>
    <col min="14089" max="14089" width="6.42578125" bestFit="1" customWidth="1"/>
    <col min="14090" max="14090" width="23.5703125" bestFit="1" customWidth="1"/>
    <col min="14337" max="14337" width="6.85546875" bestFit="1" customWidth="1"/>
    <col min="14338" max="14338" width="48.85546875" bestFit="1" customWidth="1"/>
    <col min="14339" max="14340" width="13.140625" bestFit="1" customWidth="1"/>
    <col min="14341" max="14341" width="25.42578125" bestFit="1" customWidth="1"/>
    <col min="14342" max="14342" width="13.7109375" customWidth="1"/>
    <col min="14343" max="14343" width="17.140625" customWidth="1"/>
    <col min="14344" max="14344" width="9.85546875" bestFit="1" customWidth="1"/>
    <col min="14345" max="14345" width="6.42578125" bestFit="1" customWidth="1"/>
    <col min="14346" max="14346" width="23.5703125" bestFit="1" customWidth="1"/>
    <col min="14593" max="14593" width="6.85546875" bestFit="1" customWidth="1"/>
    <col min="14594" max="14594" width="48.85546875" bestFit="1" customWidth="1"/>
    <col min="14595" max="14596" width="13.140625" bestFit="1" customWidth="1"/>
    <col min="14597" max="14597" width="25.42578125" bestFit="1" customWidth="1"/>
    <col min="14598" max="14598" width="13.7109375" customWidth="1"/>
    <col min="14599" max="14599" width="17.140625" customWidth="1"/>
    <col min="14600" max="14600" width="9.85546875" bestFit="1" customWidth="1"/>
    <col min="14601" max="14601" width="6.42578125" bestFit="1" customWidth="1"/>
    <col min="14602" max="14602" width="23.5703125" bestFit="1" customWidth="1"/>
    <col min="14849" max="14849" width="6.85546875" bestFit="1" customWidth="1"/>
    <col min="14850" max="14850" width="48.85546875" bestFit="1" customWidth="1"/>
    <col min="14851" max="14852" width="13.140625" bestFit="1" customWidth="1"/>
    <col min="14853" max="14853" width="25.42578125" bestFit="1" customWidth="1"/>
    <col min="14854" max="14854" width="13.7109375" customWidth="1"/>
    <col min="14855" max="14855" width="17.140625" customWidth="1"/>
    <col min="14856" max="14856" width="9.85546875" bestFit="1" customWidth="1"/>
    <col min="14857" max="14857" width="6.42578125" bestFit="1" customWidth="1"/>
    <col min="14858" max="14858" width="23.5703125" bestFit="1" customWidth="1"/>
    <col min="15105" max="15105" width="6.85546875" bestFit="1" customWidth="1"/>
    <col min="15106" max="15106" width="48.85546875" bestFit="1" customWidth="1"/>
    <col min="15107" max="15108" width="13.140625" bestFit="1" customWidth="1"/>
    <col min="15109" max="15109" width="25.42578125" bestFit="1" customWidth="1"/>
    <col min="15110" max="15110" width="13.7109375" customWidth="1"/>
    <col min="15111" max="15111" width="17.140625" customWidth="1"/>
    <col min="15112" max="15112" width="9.85546875" bestFit="1" customWidth="1"/>
    <col min="15113" max="15113" width="6.42578125" bestFit="1" customWidth="1"/>
    <col min="15114" max="15114" width="23.5703125" bestFit="1" customWidth="1"/>
    <col min="15361" max="15361" width="6.85546875" bestFit="1" customWidth="1"/>
    <col min="15362" max="15362" width="48.85546875" bestFit="1" customWidth="1"/>
    <col min="15363" max="15364" width="13.140625" bestFit="1" customWidth="1"/>
    <col min="15365" max="15365" width="25.42578125" bestFit="1" customWidth="1"/>
    <col min="15366" max="15366" width="13.7109375" customWidth="1"/>
    <col min="15367" max="15367" width="17.140625" customWidth="1"/>
    <col min="15368" max="15368" width="9.85546875" bestFit="1" customWidth="1"/>
    <col min="15369" max="15369" width="6.42578125" bestFit="1" customWidth="1"/>
    <col min="15370" max="15370" width="23.5703125" bestFit="1" customWidth="1"/>
    <col min="15617" max="15617" width="6.85546875" bestFit="1" customWidth="1"/>
    <col min="15618" max="15618" width="48.85546875" bestFit="1" customWidth="1"/>
    <col min="15619" max="15620" width="13.140625" bestFit="1" customWidth="1"/>
    <col min="15621" max="15621" width="25.42578125" bestFit="1" customWidth="1"/>
    <col min="15622" max="15622" width="13.7109375" customWidth="1"/>
    <col min="15623" max="15623" width="17.140625" customWidth="1"/>
    <col min="15624" max="15624" width="9.85546875" bestFit="1" customWidth="1"/>
    <col min="15625" max="15625" width="6.42578125" bestFit="1" customWidth="1"/>
    <col min="15626" max="15626" width="23.5703125" bestFit="1" customWidth="1"/>
    <col min="15873" max="15873" width="6.85546875" bestFit="1" customWidth="1"/>
    <col min="15874" max="15874" width="48.85546875" bestFit="1" customWidth="1"/>
    <col min="15875" max="15876" width="13.140625" bestFit="1" customWidth="1"/>
    <col min="15877" max="15877" width="25.42578125" bestFit="1" customWidth="1"/>
    <col min="15878" max="15878" width="13.7109375" customWidth="1"/>
    <col min="15879" max="15879" width="17.140625" customWidth="1"/>
    <col min="15880" max="15880" width="9.85546875" bestFit="1" customWidth="1"/>
    <col min="15881" max="15881" width="6.42578125" bestFit="1" customWidth="1"/>
    <col min="15882" max="15882" width="23.5703125" bestFit="1" customWidth="1"/>
    <col min="16129" max="16129" width="6.85546875" bestFit="1" customWidth="1"/>
    <col min="16130" max="16130" width="48.85546875" bestFit="1" customWidth="1"/>
    <col min="16131" max="16132" width="13.140625" bestFit="1" customWidth="1"/>
    <col min="16133" max="16133" width="25.42578125" bestFit="1" customWidth="1"/>
    <col min="16134" max="16134" width="13.7109375" customWidth="1"/>
    <col min="16135" max="16135" width="17.140625" customWidth="1"/>
    <col min="16136" max="16136" width="9.85546875" bestFit="1" customWidth="1"/>
    <col min="16137" max="16137" width="6.42578125" bestFit="1" customWidth="1"/>
    <col min="16138" max="16138" width="23.5703125" bestFit="1" customWidth="1"/>
  </cols>
  <sheetData>
    <row r="1" spans="1:10" ht="22.5" x14ac:dyDescent="0.3">
      <c r="A1" s="132" t="s">
        <v>0</v>
      </c>
      <c r="B1" s="132"/>
      <c r="C1" s="132"/>
      <c r="D1" s="132"/>
      <c r="E1" s="132"/>
      <c r="F1" s="132"/>
      <c r="G1" s="132"/>
      <c r="H1" s="132"/>
      <c r="I1" s="132"/>
      <c r="J1" s="132"/>
    </row>
    <row r="2" spans="1:10" ht="22.5" x14ac:dyDescent="0.3">
      <c r="A2" s="132" t="s">
        <v>1</v>
      </c>
      <c r="B2" s="132"/>
      <c r="C2" s="132"/>
      <c r="D2" s="132"/>
      <c r="E2" s="132"/>
      <c r="F2" s="132"/>
      <c r="G2" s="132"/>
      <c r="H2" s="132"/>
      <c r="I2" s="132"/>
      <c r="J2" s="132"/>
    </row>
    <row r="3" spans="1:10" ht="22.5" x14ac:dyDescent="0.3">
      <c r="A3" s="132" t="s">
        <v>2</v>
      </c>
      <c r="B3" s="132"/>
      <c r="C3" s="132"/>
      <c r="D3" s="132"/>
      <c r="E3" s="132"/>
      <c r="F3" s="132"/>
      <c r="G3" s="132"/>
      <c r="H3" s="132"/>
      <c r="I3" s="132"/>
      <c r="J3" s="132"/>
    </row>
    <row r="4" spans="1:10" ht="22.5" x14ac:dyDescent="0.3">
      <c r="A4" s="133" t="s">
        <v>269</v>
      </c>
      <c r="B4" s="133"/>
      <c r="C4" s="133"/>
      <c r="D4" s="133"/>
      <c r="E4" s="133"/>
      <c r="F4" s="133"/>
      <c r="G4" s="133"/>
      <c r="H4" s="133"/>
      <c r="I4" s="133"/>
      <c r="J4" s="133"/>
    </row>
    <row r="5" spans="1:10" ht="18" x14ac:dyDescent="0.25">
      <c r="A5" s="127" t="s">
        <v>4</v>
      </c>
      <c r="B5" s="127" t="s">
        <v>5</v>
      </c>
      <c r="C5" s="134" t="s">
        <v>6</v>
      </c>
      <c r="D5" s="135"/>
      <c r="E5" s="127" t="s">
        <v>9</v>
      </c>
      <c r="F5" s="127" t="s">
        <v>25</v>
      </c>
      <c r="G5" s="127" t="s">
        <v>10</v>
      </c>
      <c r="H5" s="127" t="s">
        <v>11</v>
      </c>
      <c r="I5" s="127" t="s">
        <v>12</v>
      </c>
      <c r="J5" s="129" t="s">
        <v>69</v>
      </c>
    </row>
    <row r="6" spans="1:10" ht="18" x14ac:dyDescent="0.25">
      <c r="A6" s="128"/>
      <c r="B6" s="128"/>
      <c r="C6" s="64" t="s">
        <v>7</v>
      </c>
      <c r="D6" s="64" t="s">
        <v>8</v>
      </c>
      <c r="E6" s="128"/>
      <c r="F6" s="128"/>
      <c r="G6" s="128"/>
      <c r="H6" s="128"/>
      <c r="I6" s="128"/>
      <c r="J6" s="130"/>
    </row>
    <row r="7" spans="1:10" s="61" customFormat="1" ht="18" x14ac:dyDescent="0.35">
      <c r="A7" s="62">
        <v>1</v>
      </c>
      <c r="B7" s="65" t="s">
        <v>221</v>
      </c>
      <c r="C7" s="66" t="s">
        <v>222</v>
      </c>
      <c r="D7" s="67"/>
      <c r="E7" s="68" t="s">
        <v>223</v>
      </c>
      <c r="F7" s="69">
        <v>20</v>
      </c>
      <c r="G7" s="70" t="s">
        <v>224</v>
      </c>
      <c r="H7" s="70" t="s">
        <v>11</v>
      </c>
      <c r="I7" s="71"/>
      <c r="J7" s="54">
        <v>4000</v>
      </c>
    </row>
    <row r="8" spans="1:10" ht="24" x14ac:dyDescent="0.35">
      <c r="A8" s="62">
        <v>2</v>
      </c>
      <c r="B8" s="65" t="s">
        <v>225</v>
      </c>
      <c r="C8" s="66" t="s">
        <v>226</v>
      </c>
      <c r="D8" s="66" t="s">
        <v>227</v>
      </c>
      <c r="E8" s="72" t="s">
        <v>228</v>
      </c>
      <c r="F8" s="69">
        <v>33</v>
      </c>
      <c r="G8" s="70" t="s">
        <v>75</v>
      </c>
      <c r="H8" s="70" t="s">
        <v>19</v>
      </c>
      <c r="I8" s="70" t="s">
        <v>12</v>
      </c>
      <c r="J8" s="54">
        <v>307613.05</v>
      </c>
    </row>
    <row r="9" spans="1:10" ht="18" x14ac:dyDescent="0.35">
      <c r="A9" s="62">
        <v>3</v>
      </c>
      <c r="B9" s="73" t="s">
        <v>229</v>
      </c>
      <c r="C9" s="66" t="s">
        <v>230</v>
      </c>
      <c r="D9" s="66" t="s">
        <v>230</v>
      </c>
      <c r="E9" s="72" t="s">
        <v>195</v>
      </c>
      <c r="F9" s="69">
        <v>12</v>
      </c>
      <c r="G9" s="70" t="s">
        <v>231</v>
      </c>
      <c r="H9" s="70" t="s">
        <v>11</v>
      </c>
      <c r="I9" s="70" t="s">
        <v>19</v>
      </c>
      <c r="J9" s="54">
        <v>8630</v>
      </c>
    </row>
    <row r="10" spans="1:10" ht="18" x14ac:dyDescent="0.35">
      <c r="A10" s="62">
        <v>4</v>
      </c>
      <c r="B10" s="73" t="s">
        <v>229</v>
      </c>
      <c r="C10" s="66" t="s">
        <v>232</v>
      </c>
      <c r="D10" s="66" t="s">
        <v>232</v>
      </c>
      <c r="E10" s="72" t="s">
        <v>194</v>
      </c>
      <c r="F10" s="69">
        <v>15</v>
      </c>
      <c r="G10" s="70" t="s">
        <v>231</v>
      </c>
      <c r="H10" s="70" t="s">
        <v>11</v>
      </c>
      <c r="I10" s="70" t="s">
        <v>19</v>
      </c>
      <c r="J10" s="54">
        <v>21667.59</v>
      </c>
    </row>
    <row r="11" spans="1:10" ht="18" x14ac:dyDescent="0.35">
      <c r="A11" s="62">
        <v>5</v>
      </c>
      <c r="B11" s="73" t="s">
        <v>229</v>
      </c>
      <c r="C11" s="66" t="s">
        <v>233</v>
      </c>
      <c r="D11" s="66" t="s">
        <v>233</v>
      </c>
      <c r="E11" s="72" t="s">
        <v>195</v>
      </c>
      <c r="F11" s="69">
        <v>12</v>
      </c>
      <c r="G11" s="70" t="s">
        <v>231</v>
      </c>
      <c r="H11" s="70" t="s">
        <v>11</v>
      </c>
      <c r="I11" s="70" t="s">
        <v>19</v>
      </c>
      <c r="J11" s="74">
        <v>9830</v>
      </c>
    </row>
    <row r="12" spans="1:10" ht="18" x14ac:dyDescent="0.35">
      <c r="A12" s="62">
        <v>6</v>
      </c>
      <c r="B12" s="66" t="s">
        <v>234</v>
      </c>
      <c r="C12" s="66" t="s">
        <v>235</v>
      </c>
      <c r="D12" s="66" t="s">
        <v>235</v>
      </c>
      <c r="E12" s="72" t="s">
        <v>195</v>
      </c>
      <c r="F12" s="69">
        <v>6</v>
      </c>
      <c r="G12" s="70" t="s">
        <v>17</v>
      </c>
      <c r="H12" s="70" t="s">
        <v>11</v>
      </c>
      <c r="I12" s="70" t="s">
        <v>19</v>
      </c>
      <c r="J12" s="54">
        <v>6740</v>
      </c>
    </row>
    <row r="13" spans="1:10" ht="18" x14ac:dyDescent="0.35">
      <c r="A13" s="62">
        <v>7</v>
      </c>
      <c r="B13" s="66" t="s">
        <v>234</v>
      </c>
      <c r="C13" s="66" t="s">
        <v>236</v>
      </c>
      <c r="D13" s="66" t="s">
        <v>236</v>
      </c>
      <c r="E13" s="72" t="s">
        <v>194</v>
      </c>
      <c r="F13" s="69">
        <v>11</v>
      </c>
      <c r="G13" s="70" t="s">
        <v>17</v>
      </c>
      <c r="H13" s="70" t="s">
        <v>11</v>
      </c>
      <c r="I13" s="70" t="s">
        <v>19</v>
      </c>
      <c r="J13" s="54">
        <v>18756.830000000002</v>
      </c>
    </row>
    <row r="14" spans="1:10" ht="18" x14ac:dyDescent="0.35">
      <c r="A14" s="62">
        <v>8</v>
      </c>
      <c r="B14" s="66" t="s">
        <v>237</v>
      </c>
      <c r="C14" s="66" t="s">
        <v>238</v>
      </c>
      <c r="D14" s="66" t="s">
        <v>238</v>
      </c>
      <c r="E14" s="72" t="s">
        <v>239</v>
      </c>
      <c r="F14" s="75">
        <v>18</v>
      </c>
      <c r="G14" s="70" t="s">
        <v>17</v>
      </c>
      <c r="H14" s="70" t="s">
        <v>11</v>
      </c>
      <c r="I14" s="70" t="s">
        <v>19</v>
      </c>
      <c r="J14" s="74">
        <v>16290</v>
      </c>
    </row>
    <row r="15" spans="1:10" ht="18" x14ac:dyDescent="0.35">
      <c r="A15" s="62">
        <v>9</v>
      </c>
      <c r="B15" s="73" t="s">
        <v>28</v>
      </c>
      <c r="C15" s="66" t="s">
        <v>240</v>
      </c>
      <c r="D15" s="66" t="s">
        <v>241</v>
      </c>
      <c r="E15" s="72" t="s">
        <v>242</v>
      </c>
      <c r="F15" s="69">
        <v>31</v>
      </c>
      <c r="G15" s="70" t="s">
        <v>243</v>
      </c>
      <c r="H15" s="70" t="s">
        <v>11</v>
      </c>
      <c r="I15" s="70" t="s">
        <v>19</v>
      </c>
      <c r="J15" s="54">
        <v>251998.02</v>
      </c>
    </row>
    <row r="16" spans="1:10" ht="18" x14ac:dyDescent="0.35">
      <c r="A16" s="62">
        <v>10</v>
      </c>
      <c r="B16" s="66" t="s">
        <v>244</v>
      </c>
      <c r="C16" s="66" t="s">
        <v>245</v>
      </c>
      <c r="D16" s="66" t="s">
        <v>245</v>
      </c>
      <c r="E16" s="72" t="s">
        <v>195</v>
      </c>
      <c r="F16" s="69">
        <v>8</v>
      </c>
      <c r="G16" s="70" t="s">
        <v>17</v>
      </c>
      <c r="H16" s="70" t="s">
        <v>11</v>
      </c>
      <c r="I16" s="70" t="s">
        <v>19</v>
      </c>
      <c r="J16" s="54">
        <v>9540</v>
      </c>
    </row>
    <row r="17" spans="1:10" ht="18" x14ac:dyDescent="0.35">
      <c r="A17" s="62">
        <v>11</v>
      </c>
      <c r="B17" s="66" t="s">
        <v>244</v>
      </c>
      <c r="C17" s="66" t="s">
        <v>246</v>
      </c>
      <c r="D17" s="66" t="s">
        <v>246</v>
      </c>
      <c r="E17" s="72" t="s">
        <v>239</v>
      </c>
      <c r="F17" s="69">
        <v>15</v>
      </c>
      <c r="G17" s="70" t="s">
        <v>17</v>
      </c>
      <c r="H17" s="70" t="s">
        <v>11</v>
      </c>
      <c r="I17" s="70" t="s">
        <v>19</v>
      </c>
      <c r="J17" s="54">
        <v>20570</v>
      </c>
    </row>
    <row r="18" spans="1:10" ht="18" x14ac:dyDescent="0.35">
      <c r="A18" s="62">
        <v>12</v>
      </c>
      <c r="B18" s="66" t="s">
        <v>244</v>
      </c>
      <c r="C18" s="66" t="s">
        <v>247</v>
      </c>
      <c r="D18" s="66" t="s">
        <v>247</v>
      </c>
      <c r="E18" s="72" t="s">
        <v>194</v>
      </c>
      <c r="F18" s="69">
        <v>11</v>
      </c>
      <c r="G18" s="70" t="s">
        <v>17</v>
      </c>
      <c r="H18" s="70" t="s">
        <v>11</v>
      </c>
      <c r="I18" s="70" t="s">
        <v>19</v>
      </c>
      <c r="J18" s="54">
        <v>22150</v>
      </c>
    </row>
    <row r="19" spans="1:10" ht="18" x14ac:dyDescent="0.35">
      <c r="A19" s="62">
        <v>13</v>
      </c>
      <c r="B19" s="66" t="s">
        <v>248</v>
      </c>
      <c r="C19" s="66" t="s">
        <v>249</v>
      </c>
      <c r="D19" s="66" t="s">
        <v>250</v>
      </c>
      <c r="E19" s="72" t="s">
        <v>251</v>
      </c>
      <c r="F19" s="69">
        <v>1</v>
      </c>
      <c r="G19" s="70" t="s">
        <v>252</v>
      </c>
      <c r="H19" s="70" t="s">
        <v>19</v>
      </c>
      <c r="I19" s="70" t="s">
        <v>12</v>
      </c>
      <c r="J19" s="54">
        <v>38615</v>
      </c>
    </row>
    <row r="20" spans="1:10" ht="18" x14ac:dyDescent="0.35">
      <c r="A20" s="62">
        <v>14</v>
      </c>
      <c r="B20" s="73" t="s">
        <v>253</v>
      </c>
      <c r="C20" s="66" t="s">
        <v>254</v>
      </c>
      <c r="D20" s="66" t="s">
        <v>255</v>
      </c>
      <c r="E20" s="72" t="s">
        <v>256</v>
      </c>
      <c r="F20" s="69">
        <v>37</v>
      </c>
      <c r="G20" s="70" t="s">
        <v>243</v>
      </c>
      <c r="H20" s="70" t="s">
        <v>11</v>
      </c>
      <c r="I20" s="70" t="s">
        <v>19</v>
      </c>
      <c r="J20" s="74">
        <v>76460</v>
      </c>
    </row>
    <row r="21" spans="1:10" ht="18" x14ac:dyDescent="0.35">
      <c r="A21" s="62">
        <v>15</v>
      </c>
      <c r="B21" s="66" t="s">
        <v>257</v>
      </c>
      <c r="C21" s="66" t="s">
        <v>258</v>
      </c>
      <c r="D21" s="66" t="s">
        <v>259</v>
      </c>
      <c r="E21" s="72" t="s">
        <v>260</v>
      </c>
      <c r="F21" s="69">
        <v>31</v>
      </c>
      <c r="G21" s="70" t="s">
        <v>17</v>
      </c>
      <c r="H21" s="70" t="s">
        <v>11</v>
      </c>
      <c r="I21" s="70" t="s">
        <v>19</v>
      </c>
      <c r="J21" s="74">
        <v>188065.98</v>
      </c>
    </row>
    <row r="22" spans="1:10" ht="18" x14ac:dyDescent="0.35">
      <c r="A22" s="62">
        <v>16</v>
      </c>
      <c r="B22" s="76" t="s">
        <v>261</v>
      </c>
      <c r="C22" s="66" t="s">
        <v>262</v>
      </c>
      <c r="D22" s="66" t="s">
        <v>263</v>
      </c>
      <c r="E22" s="77" t="s">
        <v>264</v>
      </c>
      <c r="F22" s="75">
        <v>1</v>
      </c>
      <c r="G22" s="78" t="s">
        <v>265</v>
      </c>
      <c r="H22" s="70" t="s">
        <v>19</v>
      </c>
      <c r="I22" s="70" t="s">
        <v>12</v>
      </c>
      <c r="J22" s="74">
        <v>17575</v>
      </c>
    </row>
    <row r="23" spans="1:10" ht="18" x14ac:dyDescent="0.35">
      <c r="A23" s="62">
        <v>17</v>
      </c>
      <c r="B23" s="73" t="s">
        <v>229</v>
      </c>
      <c r="C23" s="66" t="s">
        <v>266</v>
      </c>
      <c r="D23" s="66" t="s">
        <v>266</v>
      </c>
      <c r="E23" s="72" t="s">
        <v>267</v>
      </c>
      <c r="F23" s="69">
        <v>14</v>
      </c>
      <c r="G23" s="70" t="s">
        <v>231</v>
      </c>
      <c r="H23" s="70" t="s">
        <v>11</v>
      </c>
      <c r="I23" s="70" t="s">
        <v>19</v>
      </c>
      <c r="J23" s="54">
        <v>23190</v>
      </c>
    </row>
    <row r="24" spans="1:10" ht="18" x14ac:dyDescent="0.35">
      <c r="A24" s="62">
        <v>18</v>
      </c>
      <c r="B24" s="73" t="s">
        <v>229</v>
      </c>
      <c r="C24" s="66" t="s">
        <v>268</v>
      </c>
      <c r="D24" s="66" t="s">
        <v>268</v>
      </c>
      <c r="E24" s="72" t="s">
        <v>256</v>
      </c>
      <c r="F24" s="75">
        <v>22</v>
      </c>
      <c r="G24" s="70" t="s">
        <v>231</v>
      </c>
      <c r="H24" s="70" t="s">
        <v>11</v>
      </c>
      <c r="I24" s="70" t="s">
        <v>19</v>
      </c>
      <c r="J24" s="74">
        <v>30290</v>
      </c>
    </row>
    <row r="25" spans="1:10" ht="22.5" x14ac:dyDescent="0.45">
      <c r="A25" s="63"/>
      <c r="B25" s="131" t="s">
        <v>193</v>
      </c>
      <c r="C25" s="131"/>
      <c r="D25" s="131"/>
      <c r="E25" s="131"/>
      <c r="F25" s="131"/>
      <c r="G25" s="131"/>
      <c r="H25" s="131"/>
      <c r="I25" s="131"/>
      <c r="J25" s="58">
        <f>SUM(J7:J24)</f>
        <v>1071981.47</v>
      </c>
    </row>
    <row r="26" spans="1:10" x14ac:dyDescent="0.2">
      <c r="A26" s="59"/>
      <c r="B26" s="59"/>
      <c r="C26" s="59"/>
      <c r="D26" s="59"/>
      <c r="E26" s="59"/>
      <c r="F26" s="59"/>
      <c r="G26" s="59"/>
      <c r="H26" s="59"/>
      <c r="I26" s="59"/>
    </row>
  </sheetData>
  <mergeCells count="14">
    <mergeCell ref="H5:H6"/>
    <mergeCell ref="I5:I6"/>
    <mergeCell ref="J5:J6"/>
    <mergeCell ref="B25:I25"/>
    <mergeCell ref="A1:J1"/>
    <mergeCell ref="A2:J2"/>
    <mergeCell ref="A3:J3"/>
    <mergeCell ref="A4:J4"/>
    <mergeCell ref="A5:A6"/>
    <mergeCell ref="B5:B6"/>
    <mergeCell ref="C5:D5"/>
    <mergeCell ref="E5:E6"/>
    <mergeCell ref="F5:F6"/>
    <mergeCell ref="G5:G6"/>
  </mergeCells>
  <pageMargins left="0.3" right="0.25" top="0.75" bottom="0.75" header="0.3" footer="0.3"/>
  <pageSetup paperSize="9" scale="80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0"/>
  <sheetViews>
    <sheetView zoomScaleNormal="100" workbookViewId="0">
      <selection activeCell="J4" sqref="J4:J5"/>
    </sheetView>
  </sheetViews>
  <sheetFormatPr defaultRowHeight="12.75" x14ac:dyDescent="0.2"/>
  <cols>
    <col min="1" max="1" width="6.85546875" style="79" bestFit="1" customWidth="1"/>
    <col min="2" max="2" width="46.5703125" style="79" customWidth="1"/>
    <col min="3" max="3" width="14.85546875" style="79" customWidth="1"/>
    <col min="4" max="4" width="14.42578125" style="79" customWidth="1"/>
    <col min="5" max="5" width="23.28515625" style="79" customWidth="1"/>
    <col min="6" max="6" width="15.42578125" style="79" bestFit="1" customWidth="1"/>
    <col min="7" max="7" width="20.85546875" style="79" bestFit="1" customWidth="1"/>
    <col min="8" max="8" width="9.85546875" style="79" bestFit="1" customWidth="1"/>
    <col min="9" max="9" width="8.140625" style="79" customWidth="1"/>
    <col min="10" max="10" width="2.85546875" style="79" customWidth="1"/>
    <col min="11" max="16384" width="9.140625" style="79"/>
  </cols>
  <sheetData>
    <row r="1" spans="1:10" ht="35.25" thickTop="1" thickBot="1" x14ac:dyDescent="0.25">
      <c r="A1" s="136" t="s">
        <v>0</v>
      </c>
      <c r="B1" s="136"/>
      <c r="C1" s="136"/>
      <c r="D1" s="136"/>
      <c r="E1" s="136"/>
      <c r="F1" s="136"/>
      <c r="G1" s="136"/>
      <c r="H1" s="136"/>
      <c r="I1" s="136"/>
      <c r="J1" s="136"/>
    </row>
    <row r="2" spans="1:10" ht="27.75" customHeight="1" thickTop="1" thickBot="1" x14ac:dyDescent="0.25">
      <c r="A2" s="137" t="s">
        <v>1</v>
      </c>
      <c r="B2" s="137"/>
      <c r="C2" s="137"/>
      <c r="D2" s="137"/>
      <c r="E2" s="137"/>
      <c r="F2" s="137"/>
      <c r="G2" s="137"/>
      <c r="H2" s="137"/>
      <c r="I2" s="137"/>
      <c r="J2" s="137"/>
    </row>
    <row r="3" spans="1:10" ht="29.25" customHeight="1" thickTop="1" thickBot="1" x14ac:dyDescent="0.25">
      <c r="A3" s="138" t="s">
        <v>289</v>
      </c>
      <c r="B3" s="138"/>
      <c r="C3" s="138"/>
      <c r="D3" s="138"/>
      <c r="E3" s="138"/>
      <c r="F3" s="138"/>
      <c r="G3" s="138"/>
      <c r="H3" s="138"/>
      <c r="I3" s="138"/>
      <c r="J3" s="138"/>
    </row>
    <row r="4" spans="1:10" s="82" customFormat="1" ht="23.25" customHeight="1" thickTop="1" thickBot="1" x14ac:dyDescent="0.25">
      <c r="A4" s="139" t="s">
        <v>4</v>
      </c>
      <c r="B4" s="139" t="s">
        <v>5</v>
      </c>
      <c r="C4" s="139" t="s">
        <v>6</v>
      </c>
      <c r="D4" s="139"/>
      <c r="E4" s="139" t="s">
        <v>9</v>
      </c>
      <c r="F4" s="139" t="s">
        <v>25</v>
      </c>
      <c r="G4" s="139" t="s">
        <v>10</v>
      </c>
      <c r="H4" s="141" t="s">
        <v>270</v>
      </c>
      <c r="I4" s="141"/>
      <c r="J4" s="140" t="s">
        <v>69</v>
      </c>
    </row>
    <row r="5" spans="1:10" s="83" customFormat="1" ht="23.25" customHeight="1" thickTop="1" thickBot="1" x14ac:dyDescent="0.25">
      <c r="A5" s="139"/>
      <c r="B5" s="139"/>
      <c r="C5" s="84" t="s">
        <v>7</v>
      </c>
      <c r="D5" s="84" t="s">
        <v>8</v>
      </c>
      <c r="E5" s="139"/>
      <c r="F5" s="139"/>
      <c r="G5" s="139"/>
      <c r="H5" s="84" t="s">
        <v>11</v>
      </c>
      <c r="I5" s="84" t="s">
        <v>12</v>
      </c>
      <c r="J5" s="140"/>
    </row>
    <row r="6" spans="1:10" s="80" customFormat="1" ht="30" customHeight="1" thickTop="1" thickBot="1" x14ac:dyDescent="0.25">
      <c r="A6" s="85">
        <v>1</v>
      </c>
      <c r="B6" s="86" t="s">
        <v>196</v>
      </c>
      <c r="C6" s="87" t="s">
        <v>272</v>
      </c>
      <c r="D6" s="87" t="s">
        <v>272</v>
      </c>
      <c r="E6" s="86" t="s">
        <v>197</v>
      </c>
      <c r="F6" s="88">
        <v>4</v>
      </c>
      <c r="G6" s="89" t="s">
        <v>198</v>
      </c>
      <c r="H6" s="90"/>
      <c r="I6" s="90" t="s">
        <v>12</v>
      </c>
      <c r="J6" s="91">
        <v>37787.199999999997</v>
      </c>
    </row>
    <row r="7" spans="1:10" ht="30" customHeight="1" thickTop="1" thickBot="1" x14ac:dyDescent="0.25">
      <c r="A7" s="85">
        <v>2</v>
      </c>
      <c r="B7" s="92" t="s">
        <v>45</v>
      </c>
      <c r="C7" s="87" t="s">
        <v>273</v>
      </c>
      <c r="D7" s="87" t="s">
        <v>273</v>
      </c>
      <c r="E7" s="89" t="s">
        <v>201</v>
      </c>
      <c r="F7" s="88">
        <v>20</v>
      </c>
      <c r="G7" s="89" t="s">
        <v>202</v>
      </c>
      <c r="H7" s="90" t="s">
        <v>11</v>
      </c>
      <c r="I7" s="93"/>
      <c r="J7" s="91">
        <v>1390</v>
      </c>
    </row>
    <row r="8" spans="1:10" ht="30" customHeight="1" thickTop="1" thickBot="1" x14ac:dyDescent="0.25">
      <c r="A8" s="85">
        <v>3</v>
      </c>
      <c r="B8" s="94" t="s">
        <v>200</v>
      </c>
      <c r="C8" s="87" t="s">
        <v>274</v>
      </c>
      <c r="D8" s="87" t="s">
        <v>274</v>
      </c>
      <c r="E8" s="89" t="s">
        <v>194</v>
      </c>
      <c r="F8" s="88">
        <v>10</v>
      </c>
      <c r="G8" s="89" t="s">
        <v>17</v>
      </c>
      <c r="H8" s="90" t="s">
        <v>11</v>
      </c>
      <c r="I8" s="90"/>
      <c r="J8" s="91">
        <v>10430</v>
      </c>
    </row>
    <row r="9" spans="1:10" ht="30" customHeight="1" thickTop="1" thickBot="1" x14ac:dyDescent="0.25">
      <c r="A9" s="85">
        <v>4</v>
      </c>
      <c r="B9" s="94" t="s">
        <v>203</v>
      </c>
      <c r="C9" s="87" t="s">
        <v>275</v>
      </c>
      <c r="D9" s="87" t="s">
        <v>275</v>
      </c>
      <c r="E9" s="89" t="s">
        <v>204</v>
      </c>
      <c r="F9" s="88">
        <v>4</v>
      </c>
      <c r="G9" s="89" t="s">
        <v>17</v>
      </c>
      <c r="H9" s="90" t="s">
        <v>11</v>
      </c>
      <c r="I9" s="93"/>
      <c r="J9" s="91">
        <v>8855</v>
      </c>
    </row>
    <row r="10" spans="1:10" ht="30" customHeight="1" thickTop="1" thickBot="1" x14ac:dyDescent="0.25">
      <c r="A10" s="85">
        <v>5</v>
      </c>
      <c r="B10" s="94" t="s">
        <v>205</v>
      </c>
      <c r="C10" s="87" t="s">
        <v>276</v>
      </c>
      <c r="D10" s="87" t="s">
        <v>276</v>
      </c>
      <c r="E10" s="89" t="s">
        <v>195</v>
      </c>
      <c r="F10" s="88">
        <v>11</v>
      </c>
      <c r="G10" s="89" t="s">
        <v>17</v>
      </c>
      <c r="H10" s="90" t="s">
        <v>11</v>
      </c>
      <c r="I10" s="93"/>
      <c r="J10" s="95">
        <v>10700</v>
      </c>
    </row>
    <row r="11" spans="1:10" ht="30" customHeight="1" thickTop="1" thickBot="1" x14ac:dyDescent="0.25">
      <c r="A11" s="85">
        <v>6</v>
      </c>
      <c r="B11" s="94" t="s">
        <v>199</v>
      </c>
      <c r="C11" s="87" t="s">
        <v>277</v>
      </c>
      <c r="D11" s="87" t="s">
        <v>277</v>
      </c>
      <c r="E11" s="92" t="s">
        <v>51</v>
      </c>
      <c r="F11" s="88">
        <v>12</v>
      </c>
      <c r="G11" s="89" t="s">
        <v>17</v>
      </c>
      <c r="H11" s="90" t="s">
        <v>11</v>
      </c>
      <c r="I11" s="90"/>
      <c r="J11" s="91">
        <v>18880</v>
      </c>
    </row>
    <row r="12" spans="1:10" ht="30" customHeight="1" thickTop="1" thickBot="1" x14ac:dyDescent="0.25">
      <c r="A12" s="85">
        <v>7</v>
      </c>
      <c r="B12" s="94" t="s">
        <v>206</v>
      </c>
      <c r="C12" s="87" t="s">
        <v>278</v>
      </c>
      <c r="D12" s="87" t="s">
        <v>278</v>
      </c>
      <c r="E12" s="92" t="s">
        <v>51</v>
      </c>
      <c r="F12" s="88">
        <v>13</v>
      </c>
      <c r="G12" s="89" t="s">
        <v>78</v>
      </c>
      <c r="H12" s="90" t="s">
        <v>11</v>
      </c>
      <c r="I12" s="90"/>
      <c r="J12" s="91">
        <v>19750</v>
      </c>
    </row>
    <row r="13" spans="1:10" ht="30" customHeight="1" thickTop="1" thickBot="1" x14ac:dyDescent="0.25">
      <c r="A13" s="85">
        <v>8</v>
      </c>
      <c r="B13" s="94" t="s">
        <v>213</v>
      </c>
      <c r="C13" s="87" t="s">
        <v>279</v>
      </c>
      <c r="D13" s="87" t="s">
        <v>286</v>
      </c>
      <c r="E13" s="89" t="s">
        <v>207</v>
      </c>
      <c r="F13" s="96">
        <v>1</v>
      </c>
      <c r="G13" s="89" t="s">
        <v>208</v>
      </c>
      <c r="H13" s="90"/>
      <c r="I13" s="90" t="s">
        <v>12</v>
      </c>
      <c r="J13" s="95">
        <v>20340</v>
      </c>
    </row>
    <row r="14" spans="1:10" ht="30" customHeight="1" thickTop="1" thickBot="1" x14ac:dyDescent="0.25">
      <c r="A14" s="85">
        <v>9</v>
      </c>
      <c r="B14" s="97" t="s">
        <v>209</v>
      </c>
      <c r="C14" s="87" t="s">
        <v>280</v>
      </c>
      <c r="D14" s="87" t="s">
        <v>287</v>
      </c>
      <c r="E14" s="92" t="s">
        <v>51</v>
      </c>
      <c r="F14" s="88">
        <v>33</v>
      </c>
      <c r="G14" s="89" t="s">
        <v>271</v>
      </c>
      <c r="H14" s="90" t="s">
        <v>11</v>
      </c>
      <c r="I14" s="90" t="s">
        <v>12</v>
      </c>
      <c r="J14" s="91">
        <v>148735</v>
      </c>
    </row>
    <row r="15" spans="1:10" ht="30" customHeight="1" thickTop="1" thickBot="1" x14ac:dyDescent="0.25">
      <c r="A15" s="85">
        <v>10</v>
      </c>
      <c r="B15" s="94" t="s">
        <v>210</v>
      </c>
      <c r="C15" s="87" t="s">
        <v>281</v>
      </c>
      <c r="D15" s="87" t="s">
        <v>288</v>
      </c>
      <c r="E15" s="86" t="s">
        <v>211</v>
      </c>
      <c r="F15" s="88">
        <v>1</v>
      </c>
      <c r="G15" s="98" t="s">
        <v>212</v>
      </c>
      <c r="H15" s="93"/>
      <c r="I15" s="90" t="s">
        <v>12</v>
      </c>
      <c r="J15" s="91">
        <v>15000</v>
      </c>
    </row>
    <row r="16" spans="1:10" ht="30" customHeight="1" thickTop="1" thickBot="1" x14ac:dyDescent="0.25">
      <c r="A16" s="85">
        <v>11</v>
      </c>
      <c r="B16" s="97" t="s">
        <v>214</v>
      </c>
      <c r="C16" s="87" t="s">
        <v>282</v>
      </c>
      <c r="D16" s="87" t="s">
        <v>282</v>
      </c>
      <c r="E16" s="92" t="s">
        <v>215</v>
      </c>
      <c r="F16" s="88">
        <v>12</v>
      </c>
      <c r="G16" s="89" t="s">
        <v>17</v>
      </c>
      <c r="H16" s="90" t="s">
        <v>11</v>
      </c>
      <c r="I16" s="93"/>
      <c r="J16" s="91">
        <v>9560</v>
      </c>
    </row>
    <row r="17" spans="1:10" ht="30" customHeight="1" thickTop="1" thickBot="1" x14ac:dyDescent="0.25">
      <c r="A17" s="85">
        <v>12</v>
      </c>
      <c r="B17" s="97" t="s">
        <v>216</v>
      </c>
      <c r="C17" s="87" t="s">
        <v>283</v>
      </c>
      <c r="D17" s="87" t="s">
        <v>283</v>
      </c>
      <c r="E17" s="92" t="s">
        <v>217</v>
      </c>
      <c r="F17" s="88">
        <v>10</v>
      </c>
      <c r="G17" s="89" t="s">
        <v>17</v>
      </c>
      <c r="H17" s="90" t="s">
        <v>11</v>
      </c>
      <c r="I17" s="93"/>
      <c r="J17" s="91">
        <v>10170</v>
      </c>
    </row>
    <row r="18" spans="1:10" ht="30" customHeight="1" thickTop="1" thickBot="1" x14ac:dyDescent="0.25">
      <c r="A18" s="85">
        <v>13</v>
      </c>
      <c r="B18" s="97" t="s">
        <v>218</v>
      </c>
      <c r="C18" s="87" t="s">
        <v>284</v>
      </c>
      <c r="D18" s="87" t="s">
        <v>284</v>
      </c>
      <c r="E18" s="92" t="s">
        <v>51</v>
      </c>
      <c r="F18" s="88">
        <v>12</v>
      </c>
      <c r="G18" s="89" t="s">
        <v>17</v>
      </c>
      <c r="H18" s="90" t="s">
        <v>11</v>
      </c>
      <c r="I18" s="93"/>
      <c r="J18" s="91">
        <v>12400</v>
      </c>
    </row>
    <row r="19" spans="1:10" ht="30" customHeight="1" thickTop="1" thickBot="1" x14ac:dyDescent="0.25">
      <c r="A19" s="85">
        <v>14</v>
      </c>
      <c r="B19" s="97" t="s">
        <v>220</v>
      </c>
      <c r="C19" s="87" t="s">
        <v>285</v>
      </c>
      <c r="D19" s="87" t="s">
        <v>285</v>
      </c>
      <c r="E19" s="92" t="s">
        <v>219</v>
      </c>
      <c r="F19" s="88">
        <v>4</v>
      </c>
      <c r="G19" s="89" t="s">
        <v>17</v>
      </c>
      <c r="H19" s="90" t="s">
        <v>11</v>
      </c>
      <c r="I19" s="93"/>
      <c r="J19" s="91">
        <v>6240</v>
      </c>
    </row>
    <row r="20" spans="1:10" ht="13.5" thickTop="1" x14ac:dyDescent="0.2">
      <c r="A20" s="81"/>
      <c r="B20" s="81"/>
      <c r="C20" s="81"/>
      <c r="D20" s="81"/>
      <c r="E20" s="81"/>
      <c r="F20" s="81"/>
      <c r="G20" s="81"/>
      <c r="H20" s="81"/>
      <c r="I20" s="81"/>
    </row>
  </sheetData>
  <mergeCells count="11">
    <mergeCell ref="A1:J1"/>
    <mergeCell ref="A2:J2"/>
    <mergeCell ref="A3:J3"/>
    <mergeCell ref="A4:A5"/>
    <mergeCell ref="B4:B5"/>
    <mergeCell ref="C4:D4"/>
    <mergeCell ref="E4:E5"/>
    <mergeCell ref="F4:F5"/>
    <mergeCell ref="G4:G5"/>
    <mergeCell ref="J4:J5"/>
    <mergeCell ref="H4:I4"/>
  </mergeCells>
  <pageMargins left="0.4" right="0.23" top="0.28999999999999998" bottom="0.28999999999999998" header="0.31496062992125984" footer="0.31496062992125984"/>
  <pageSetup paperSize="9" scale="88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0"/>
  <sheetViews>
    <sheetView tabSelected="1" zoomScaleNormal="100" workbookViewId="0">
      <selection activeCell="G9" sqref="G9"/>
    </sheetView>
  </sheetViews>
  <sheetFormatPr defaultRowHeight="12.75" x14ac:dyDescent="0.2"/>
  <cols>
    <col min="1" max="1" width="6.85546875" style="79" bestFit="1" customWidth="1"/>
    <col min="2" max="2" width="46.5703125" style="79" customWidth="1"/>
    <col min="3" max="3" width="14.85546875" style="79" customWidth="1"/>
    <col min="4" max="4" width="14.42578125" style="79" customWidth="1"/>
    <col min="5" max="5" width="23.28515625" style="79" customWidth="1"/>
    <col min="6" max="6" width="15.42578125" style="79" bestFit="1" customWidth="1"/>
    <col min="7" max="7" width="20.85546875" style="79" bestFit="1" customWidth="1"/>
    <col min="8" max="8" width="9.85546875" style="79" bestFit="1" customWidth="1"/>
    <col min="9" max="9" width="8.140625" style="79" customWidth="1"/>
    <col min="10" max="16384" width="9.140625" style="79"/>
  </cols>
  <sheetData>
    <row r="1" spans="1:9" ht="35.25" thickTop="1" thickBot="1" x14ac:dyDescent="0.25">
      <c r="A1" s="136" t="s">
        <v>0</v>
      </c>
      <c r="B1" s="136"/>
      <c r="C1" s="136"/>
      <c r="D1" s="136"/>
      <c r="E1" s="136"/>
      <c r="F1" s="136"/>
      <c r="G1" s="136"/>
      <c r="H1" s="136"/>
      <c r="I1" s="136"/>
    </row>
    <row r="2" spans="1:9" ht="27.75" customHeight="1" thickTop="1" thickBot="1" x14ac:dyDescent="0.25">
      <c r="A2" s="137" t="s">
        <v>1</v>
      </c>
      <c r="B2" s="137"/>
      <c r="C2" s="137"/>
      <c r="D2" s="137"/>
      <c r="E2" s="137"/>
      <c r="F2" s="137"/>
      <c r="G2" s="137"/>
      <c r="H2" s="137"/>
      <c r="I2" s="137"/>
    </row>
    <row r="3" spans="1:9" ht="29.25" customHeight="1" thickTop="1" thickBot="1" x14ac:dyDescent="0.25">
      <c r="A3" s="138" t="s">
        <v>289</v>
      </c>
      <c r="B3" s="138"/>
      <c r="C3" s="138"/>
      <c r="D3" s="138"/>
      <c r="E3" s="138"/>
      <c r="F3" s="138"/>
      <c r="G3" s="138"/>
      <c r="H3" s="138"/>
      <c r="I3" s="138"/>
    </row>
    <row r="4" spans="1:9" s="82" customFormat="1" ht="23.25" customHeight="1" thickTop="1" thickBot="1" x14ac:dyDescent="0.25">
      <c r="A4" s="139" t="s">
        <v>4</v>
      </c>
      <c r="B4" s="139" t="s">
        <v>5</v>
      </c>
      <c r="C4" s="139" t="s">
        <v>6</v>
      </c>
      <c r="D4" s="139"/>
      <c r="E4" s="139" t="s">
        <v>9</v>
      </c>
      <c r="F4" s="139" t="s">
        <v>25</v>
      </c>
      <c r="G4" s="139" t="s">
        <v>10</v>
      </c>
      <c r="H4" s="141" t="s">
        <v>270</v>
      </c>
      <c r="I4" s="141"/>
    </row>
    <row r="5" spans="1:9" s="83" customFormat="1" ht="23.25" customHeight="1" thickTop="1" thickBot="1" x14ac:dyDescent="0.25">
      <c r="A5" s="139"/>
      <c r="B5" s="139"/>
      <c r="C5" s="84" t="s">
        <v>7</v>
      </c>
      <c r="D5" s="84" t="s">
        <v>8</v>
      </c>
      <c r="E5" s="139"/>
      <c r="F5" s="139"/>
      <c r="G5" s="139"/>
      <c r="H5" s="84" t="s">
        <v>11</v>
      </c>
      <c r="I5" s="84" t="s">
        <v>12</v>
      </c>
    </row>
    <row r="6" spans="1:9" s="80" customFormat="1" ht="30" customHeight="1" thickTop="1" thickBot="1" x14ac:dyDescent="0.25">
      <c r="A6" s="99">
        <v>1</v>
      </c>
      <c r="B6" s="143" t="s">
        <v>196</v>
      </c>
      <c r="C6" s="142" t="s">
        <v>272</v>
      </c>
      <c r="D6" s="142" t="s">
        <v>272</v>
      </c>
      <c r="E6" s="143" t="s">
        <v>197</v>
      </c>
      <c r="F6" s="100">
        <v>4</v>
      </c>
      <c r="G6" s="145" t="s">
        <v>198</v>
      </c>
      <c r="H6" s="101"/>
      <c r="I6" s="101" t="s">
        <v>12</v>
      </c>
    </row>
    <row r="7" spans="1:9" ht="30" customHeight="1" thickTop="1" thickBot="1" x14ac:dyDescent="0.25">
      <c r="A7" s="99">
        <v>2</v>
      </c>
      <c r="B7" s="144" t="s">
        <v>45</v>
      </c>
      <c r="C7" s="142" t="s">
        <v>273</v>
      </c>
      <c r="D7" s="142" t="s">
        <v>273</v>
      </c>
      <c r="E7" s="145" t="s">
        <v>201</v>
      </c>
      <c r="F7" s="100">
        <v>20</v>
      </c>
      <c r="G7" s="145" t="s">
        <v>202</v>
      </c>
      <c r="H7" s="101" t="s">
        <v>11</v>
      </c>
      <c r="I7" s="102"/>
    </row>
    <row r="8" spans="1:9" ht="30" customHeight="1" thickTop="1" thickBot="1" x14ac:dyDescent="0.25">
      <c r="A8" s="99">
        <v>3</v>
      </c>
      <c r="B8" s="145" t="s">
        <v>200</v>
      </c>
      <c r="C8" s="142" t="s">
        <v>274</v>
      </c>
      <c r="D8" s="142" t="s">
        <v>274</v>
      </c>
      <c r="E8" s="145" t="s">
        <v>194</v>
      </c>
      <c r="F8" s="100">
        <v>10</v>
      </c>
      <c r="G8" s="145" t="s">
        <v>17</v>
      </c>
      <c r="H8" s="101" t="s">
        <v>11</v>
      </c>
      <c r="I8" s="101"/>
    </row>
    <row r="9" spans="1:9" ht="30" customHeight="1" thickTop="1" thickBot="1" x14ac:dyDescent="0.25">
      <c r="A9" s="99">
        <v>4</v>
      </c>
      <c r="B9" s="145" t="s">
        <v>203</v>
      </c>
      <c r="C9" s="142" t="s">
        <v>275</v>
      </c>
      <c r="D9" s="142" t="s">
        <v>275</v>
      </c>
      <c r="E9" s="145" t="s">
        <v>204</v>
      </c>
      <c r="F9" s="100">
        <v>4</v>
      </c>
      <c r="G9" s="145" t="s">
        <v>17</v>
      </c>
      <c r="H9" s="101" t="s">
        <v>11</v>
      </c>
      <c r="I9" s="102"/>
    </row>
    <row r="10" spans="1:9" ht="30" customHeight="1" thickTop="1" thickBot="1" x14ac:dyDescent="0.25">
      <c r="A10" s="99">
        <v>5</v>
      </c>
      <c r="B10" s="145" t="s">
        <v>205</v>
      </c>
      <c r="C10" s="142" t="s">
        <v>276</v>
      </c>
      <c r="D10" s="142" t="s">
        <v>276</v>
      </c>
      <c r="E10" s="145" t="s">
        <v>195</v>
      </c>
      <c r="F10" s="100">
        <v>11</v>
      </c>
      <c r="G10" s="145" t="s">
        <v>17</v>
      </c>
      <c r="H10" s="101" t="s">
        <v>11</v>
      </c>
      <c r="I10" s="102"/>
    </row>
    <row r="11" spans="1:9" ht="30" customHeight="1" thickTop="1" thickBot="1" x14ac:dyDescent="0.25">
      <c r="A11" s="99">
        <v>6</v>
      </c>
      <c r="B11" s="145" t="s">
        <v>199</v>
      </c>
      <c r="C11" s="142" t="s">
        <v>277</v>
      </c>
      <c r="D11" s="142" t="s">
        <v>277</v>
      </c>
      <c r="E11" s="144" t="s">
        <v>51</v>
      </c>
      <c r="F11" s="100">
        <v>12</v>
      </c>
      <c r="G11" s="145" t="s">
        <v>17</v>
      </c>
      <c r="H11" s="101" t="s">
        <v>11</v>
      </c>
      <c r="I11" s="101"/>
    </row>
    <row r="12" spans="1:9" ht="30" customHeight="1" thickTop="1" thickBot="1" x14ac:dyDescent="0.25">
      <c r="A12" s="99">
        <v>7</v>
      </c>
      <c r="B12" s="145" t="s">
        <v>206</v>
      </c>
      <c r="C12" s="142" t="s">
        <v>278</v>
      </c>
      <c r="D12" s="142" t="s">
        <v>278</v>
      </c>
      <c r="E12" s="144" t="s">
        <v>51</v>
      </c>
      <c r="F12" s="100">
        <v>13</v>
      </c>
      <c r="G12" s="145" t="s">
        <v>78</v>
      </c>
      <c r="H12" s="101" t="s">
        <v>11</v>
      </c>
      <c r="I12" s="101"/>
    </row>
    <row r="13" spans="1:9" ht="30" customHeight="1" thickTop="1" thickBot="1" x14ac:dyDescent="0.25">
      <c r="A13" s="99">
        <v>8</v>
      </c>
      <c r="B13" s="145" t="s">
        <v>290</v>
      </c>
      <c r="C13" s="142" t="s">
        <v>279</v>
      </c>
      <c r="D13" s="142" t="s">
        <v>286</v>
      </c>
      <c r="E13" s="145" t="s">
        <v>207</v>
      </c>
      <c r="F13" s="103">
        <v>1</v>
      </c>
      <c r="G13" s="145" t="s">
        <v>208</v>
      </c>
      <c r="H13" s="101"/>
      <c r="I13" s="101" t="s">
        <v>12</v>
      </c>
    </row>
    <row r="14" spans="1:9" ht="30" customHeight="1" thickTop="1" thickBot="1" x14ac:dyDescent="0.25">
      <c r="A14" s="99">
        <v>9</v>
      </c>
      <c r="B14" s="146" t="s">
        <v>209</v>
      </c>
      <c r="C14" s="142" t="s">
        <v>280</v>
      </c>
      <c r="D14" s="142" t="s">
        <v>287</v>
      </c>
      <c r="E14" s="144" t="s">
        <v>51</v>
      </c>
      <c r="F14" s="100">
        <v>33</v>
      </c>
      <c r="G14" s="145" t="s">
        <v>271</v>
      </c>
      <c r="H14" s="101" t="s">
        <v>11</v>
      </c>
      <c r="I14" s="101" t="s">
        <v>12</v>
      </c>
    </row>
    <row r="15" spans="1:9" ht="30" customHeight="1" thickTop="1" thickBot="1" x14ac:dyDescent="0.25">
      <c r="A15" s="99">
        <v>10</v>
      </c>
      <c r="B15" s="145" t="s">
        <v>210</v>
      </c>
      <c r="C15" s="142" t="s">
        <v>281</v>
      </c>
      <c r="D15" s="142" t="s">
        <v>288</v>
      </c>
      <c r="E15" s="143" t="s">
        <v>211</v>
      </c>
      <c r="F15" s="100">
        <v>1</v>
      </c>
      <c r="G15" s="147" t="s">
        <v>212</v>
      </c>
      <c r="H15" s="102"/>
      <c r="I15" s="101" t="s">
        <v>12</v>
      </c>
    </row>
    <row r="16" spans="1:9" ht="30" customHeight="1" thickTop="1" thickBot="1" x14ac:dyDescent="0.25">
      <c r="A16" s="99">
        <v>11</v>
      </c>
      <c r="B16" s="146" t="s">
        <v>214</v>
      </c>
      <c r="C16" s="142" t="s">
        <v>282</v>
      </c>
      <c r="D16" s="142" t="s">
        <v>282</v>
      </c>
      <c r="E16" s="144" t="s">
        <v>215</v>
      </c>
      <c r="F16" s="100">
        <v>12</v>
      </c>
      <c r="G16" s="145" t="s">
        <v>17</v>
      </c>
      <c r="H16" s="101" t="s">
        <v>11</v>
      </c>
      <c r="I16" s="102"/>
    </row>
    <row r="17" spans="1:9" ht="30" customHeight="1" thickTop="1" thickBot="1" x14ac:dyDescent="0.25">
      <c r="A17" s="99">
        <v>12</v>
      </c>
      <c r="B17" s="146" t="s">
        <v>216</v>
      </c>
      <c r="C17" s="142" t="s">
        <v>283</v>
      </c>
      <c r="D17" s="142" t="s">
        <v>283</v>
      </c>
      <c r="E17" s="144" t="s">
        <v>217</v>
      </c>
      <c r="F17" s="100">
        <v>10</v>
      </c>
      <c r="G17" s="145" t="s">
        <v>17</v>
      </c>
      <c r="H17" s="101" t="s">
        <v>11</v>
      </c>
      <c r="I17" s="102"/>
    </row>
    <row r="18" spans="1:9" ht="30" customHeight="1" thickTop="1" thickBot="1" x14ac:dyDescent="0.25">
      <c r="A18" s="99">
        <v>13</v>
      </c>
      <c r="B18" s="146" t="s">
        <v>218</v>
      </c>
      <c r="C18" s="142" t="s">
        <v>284</v>
      </c>
      <c r="D18" s="142" t="s">
        <v>284</v>
      </c>
      <c r="E18" s="144" t="s">
        <v>51</v>
      </c>
      <c r="F18" s="100">
        <v>12</v>
      </c>
      <c r="G18" s="145" t="s">
        <v>17</v>
      </c>
      <c r="H18" s="101" t="s">
        <v>11</v>
      </c>
      <c r="I18" s="102"/>
    </row>
    <row r="19" spans="1:9" ht="30" customHeight="1" thickTop="1" thickBot="1" x14ac:dyDescent="0.25">
      <c r="A19" s="99">
        <v>14</v>
      </c>
      <c r="B19" s="146" t="s">
        <v>220</v>
      </c>
      <c r="C19" s="142" t="s">
        <v>285</v>
      </c>
      <c r="D19" s="142" t="s">
        <v>285</v>
      </c>
      <c r="E19" s="144" t="s">
        <v>219</v>
      </c>
      <c r="F19" s="100">
        <v>4</v>
      </c>
      <c r="G19" s="145" t="s">
        <v>17</v>
      </c>
      <c r="H19" s="101" t="s">
        <v>11</v>
      </c>
      <c r="I19" s="102"/>
    </row>
    <row r="20" spans="1:9" ht="13.5" thickTop="1" x14ac:dyDescent="0.2">
      <c r="A20" s="81"/>
      <c r="B20" s="81"/>
      <c r="C20" s="81"/>
      <c r="D20" s="81"/>
      <c r="E20" s="81"/>
      <c r="F20" s="81"/>
      <c r="G20" s="81"/>
      <c r="H20" s="81"/>
      <c r="I20" s="81"/>
    </row>
  </sheetData>
  <mergeCells count="10">
    <mergeCell ref="A1:I1"/>
    <mergeCell ref="A2:I2"/>
    <mergeCell ref="A3:I3"/>
    <mergeCell ref="A4:A5"/>
    <mergeCell ref="B4:B5"/>
    <mergeCell ref="C4:D4"/>
    <mergeCell ref="E4:E5"/>
    <mergeCell ref="F4:F5"/>
    <mergeCell ref="G4:G5"/>
    <mergeCell ref="H4:I4"/>
  </mergeCells>
  <pageMargins left="0.4" right="0.23" top="0.28999999999999998" bottom="0.28999999999999998" header="0.31496062992125984" footer="0.31496062992125984"/>
  <pageSetup paperSize="9" scale="8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2074.75</vt:lpstr>
      <vt:lpstr>2075.76</vt:lpstr>
      <vt:lpstr>2076.77</vt:lpstr>
      <vt:lpstr>2077.78</vt:lpstr>
      <vt:lpstr>2078.79</vt:lpstr>
      <vt:lpstr>2079.80</vt:lpstr>
      <vt:lpstr>2079.80 Print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NRDSC</dc:creator>
  <cp:lastModifiedBy>Windows User</cp:lastModifiedBy>
  <cp:lastPrinted>2023-10-04T08:41:16Z</cp:lastPrinted>
  <dcterms:created xsi:type="dcterms:W3CDTF">2006-10-29T04:52:49Z</dcterms:created>
  <dcterms:modified xsi:type="dcterms:W3CDTF">2023-10-04T08:44:07Z</dcterms:modified>
</cp:coreProperties>
</file>