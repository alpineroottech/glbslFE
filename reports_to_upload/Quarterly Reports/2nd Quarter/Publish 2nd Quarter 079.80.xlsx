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RB Report\quarterly reporting\2079.80\2nd Quarter\"/>
    </mc:Choice>
  </mc:AlternateContent>
  <bookViews>
    <workbookView xWindow="0" yWindow="0" windowWidth="20490" windowHeight="7155" activeTab="2"/>
  </bookViews>
  <sheets>
    <sheet name="Poush" sheetId="1" r:id="rId1"/>
    <sheet name="Ratio " sheetId="2" r:id="rId2"/>
    <sheet name="Cost of Fund " sheetId="4" r:id="rId3"/>
  </sheets>
  <externalReferences>
    <externalReference r:id="rId4"/>
    <externalReference r:id="rId5"/>
  </externalReferences>
  <definedNames>
    <definedName name="_xlnm.Print_Area" localSheetId="0">Poush!$A$1:$E$57</definedName>
    <definedName name="ProvinceD">[1]ProvinceDistrict!$I$2:$I$8</definedName>
    <definedName name="ProvinceList">[1]ProvinceDistrict!#REF!</definedName>
  </definedNames>
  <calcPr calcId="152511"/>
</workbook>
</file>

<file path=xl/calcChain.xml><?xml version="1.0" encoding="utf-8"?>
<calcChain xmlns="http://schemas.openxmlformats.org/spreadsheetml/2006/main">
  <c r="B22" i="2" l="1"/>
  <c r="B21" i="2"/>
  <c r="I18" i="2"/>
  <c r="E38" i="1" l="1"/>
  <c r="D38" i="1"/>
  <c r="C38" i="1"/>
  <c r="E10" i="4" l="1"/>
  <c r="I5" i="4"/>
  <c r="I9" i="4"/>
  <c r="E14" i="1"/>
  <c r="D14" i="1"/>
  <c r="C14" i="1"/>
  <c r="C11" i="1"/>
  <c r="C10" i="1"/>
  <c r="H47" i="1" l="1"/>
  <c r="G11" i="1" l="1"/>
  <c r="C20" i="2" l="1"/>
  <c r="K42" i="1"/>
  <c r="J42" i="1"/>
  <c r="I42" i="1"/>
  <c r="K40" i="1"/>
  <c r="J40" i="1"/>
  <c r="C17" i="4" l="1"/>
  <c r="C19" i="4" s="1"/>
  <c r="F41" i="1" l="1"/>
  <c r="G41" i="1" s="1"/>
  <c r="F36" i="1"/>
  <c r="G36" i="1" s="1"/>
  <c r="F28" i="1"/>
  <c r="G28" i="1" s="1"/>
  <c r="F26" i="1"/>
  <c r="F24" i="1"/>
  <c r="F23" i="1"/>
  <c r="G23" i="1" s="1"/>
  <c r="F18" i="1"/>
  <c r="F17" i="1"/>
  <c r="F38" i="1" l="1"/>
  <c r="G38" i="1" s="1"/>
  <c r="E19" i="1"/>
  <c r="D16" i="4" l="1"/>
  <c r="E16" i="4" s="1"/>
  <c r="D13" i="4"/>
  <c r="E13" i="4" s="1"/>
  <c r="D10" i="4"/>
  <c r="D7" i="4"/>
  <c r="E7" i="4" s="1"/>
  <c r="F35" i="1" l="1"/>
  <c r="G35" i="1" s="1"/>
  <c r="F32" i="1"/>
  <c r="G32" i="1" s="1"/>
  <c r="F31" i="1"/>
  <c r="G31" i="1" s="1"/>
  <c r="F29" i="1"/>
  <c r="G29" i="1" s="1"/>
  <c r="F25" i="1"/>
  <c r="E9" i="1" l="1"/>
  <c r="G19" i="1" s="1"/>
  <c r="D30" i="1"/>
  <c r="C19" i="1" l="1"/>
  <c r="H19" i="1" s="1"/>
  <c r="D19" i="1" l="1"/>
  <c r="E30" i="1" l="1"/>
  <c r="E34" i="1" l="1"/>
  <c r="E37" i="1" s="1"/>
  <c r="B18" i="2" l="1"/>
  <c r="B4" i="2"/>
  <c r="B14" i="2" s="1"/>
  <c r="E39" i="1" l="1"/>
  <c r="C30" i="1"/>
  <c r="D9" i="1"/>
  <c r="F19" i="1" s="1"/>
  <c r="F14" i="1"/>
  <c r="B12" i="2" l="1"/>
  <c r="C9" i="1"/>
  <c r="D20" i="2"/>
  <c r="D34" i="1"/>
  <c r="D37" i="1" s="1"/>
  <c r="D39" i="1" s="1"/>
  <c r="D42" i="1" s="1"/>
  <c r="D44" i="1" s="1"/>
  <c r="E42" i="1"/>
  <c r="E44" i="1" s="1"/>
  <c r="B17" i="2"/>
  <c r="C16" i="2" s="1"/>
  <c r="B11" i="2"/>
  <c r="C34" i="1"/>
  <c r="C37" i="1" s="1"/>
  <c r="C39" i="1" s="1"/>
  <c r="C42" i="1" l="1"/>
  <c r="C44" i="1" s="1"/>
  <c r="B13" i="2"/>
  <c r="C10" i="2" s="1"/>
  <c r="E45" i="1"/>
  <c r="F44" i="1" l="1"/>
  <c r="G44" i="1" s="1"/>
  <c r="F45" i="1"/>
  <c r="G45" i="1" s="1"/>
  <c r="D10" i="2"/>
  <c r="E46" i="1"/>
  <c r="E47" i="1" s="1"/>
  <c r="D47" i="1"/>
  <c r="C47" i="1" l="1"/>
  <c r="B3" i="2" s="1"/>
  <c r="C2" i="2" l="1"/>
  <c r="B8" i="2" s="1"/>
  <c r="C6" i="2" s="1"/>
  <c r="F47" i="1"/>
  <c r="G47" i="1" s="1"/>
  <c r="D3" i="2"/>
</calcChain>
</file>

<file path=xl/comments1.xml><?xml version="1.0" encoding="utf-8"?>
<comments xmlns="http://schemas.openxmlformats.org/spreadsheetml/2006/main">
  <authors>
    <author>Dell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Last closing price</t>
        </r>
      </text>
    </comment>
  </commentList>
</comments>
</file>

<file path=xl/sharedStrings.xml><?xml version="1.0" encoding="utf-8"?>
<sst xmlns="http://schemas.openxmlformats.org/spreadsheetml/2006/main" count="131" uniqueCount="113">
  <si>
    <t>S.N.</t>
  </si>
  <si>
    <t>Particulars</t>
  </si>
  <si>
    <t xml:space="preserve"> This Quarter Ending </t>
  </si>
  <si>
    <t xml:space="preserve">Previous Quarter Ending </t>
  </si>
  <si>
    <t>Total Capital &amp; Liabilities (1.1 to 1.7)</t>
  </si>
  <si>
    <t>Paid-up Capital</t>
  </si>
  <si>
    <t>Reserves and Surplus</t>
  </si>
  <si>
    <t>Debenture and Bond</t>
  </si>
  <si>
    <t>-</t>
  </si>
  <si>
    <t>Borrowings</t>
  </si>
  <si>
    <t>Deposits (a+b)</t>
  </si>
  <si>
    <t>a. Domestic Currency</t>
  </si>
  <si>
    <t>b. Foreign Currency</t>
  </si>
  <si>
    <t>Income Tax Liabilities</t>
  </si>
  <si>
    <t>Other Liabilities</t>
  </si>
  <si>
    <t>Total Assets (2.1 to 2.7)</t>
  </si>
  <si>
    <t>Cash &amp; Bank Balance</t>
  </si>
  <si>
    <t>Money at call and short Notice</t>
  </si>
  <si>
    <t>Investments</t>
  </si>
  <si>
    <t>Loans &amp; Advances (a+b+c+d+e+f)</t>
  </si>
  <si>
    <t>Fixed Assets</t>
  </si>
  <si>
    <t>Non Banking Assets</t>
  </si>
  <si>
    <t>Other Assets</t>
  </si>
  <si>
    <t>Profit and Loss Account</t>
  </si>
  <si>
    <t xml:space="preserve"> Interest income</t>
  </si>
  <si>
    <t xml:space="preserve"> Interest Expense</t>
  </si>
  <si>
    <t>A</t>
  </si>
  <si>
    <t xml:space="preserve"> Net Interest Income (3.1-3.2)</t>
  </si>
  <si>
    <t>Fees Commission and Discount</t>
  </si>
  <si>
    <t>Other Operating Income</t>
  </si>
  <si>
    <t>Foreign Exchange Gain/Loss (Net)</t>
  </si>
  <si>
    <t>B</t>
  </si>
  <si>
    <t>Total Operating Income (A+3.3+3.4+3.5)</t>
  </si>
  <si>
    <t>Staff Expenses</t>
  </si>
  <si>
    <t>Other Operating Expenses</t>
  </si>
  <si>
    <t>C</t>
  </si>
  <si>
    <t>Operating profit Before Provision (B-3.6-3.7)</t>
  </si>
  <si>
    <t>Provision for Possible Loss</t>
  </si>
  <si>
    <t>D</t>
  </si>
  <si>
    <t>Operating profit (C-3.8)</t>
  </si>
  <si>
    <t>Non Operating Income/Expenses (Net)</t>
  </si>
  <si>
    <t xml:space="preserve">Write Back of Provision for Possible Loss </t>
  </si>
  <si>
    <t>E</t>
  </si>
  <si>
    <t>Profit From Regular Activities (D+3.9+3.10)</t>
  </si>
  <si>
    <t>Extraordinary Income/Expenses (Net)</t>
  </si>
  <si>
    <t>F</t>
  </si>
  <si>
    <t>Profit Before Bonus  and Taxes (E+3.11)</t>
  </si>
  <si>
    <t>Provision For Staff Bonus</t>
  </si>
  <si>
    <t>Provision For Tax</t>
  </si>
  <si>
    <t>G</t>
  </si>
  <si>
    <t>Net Profit/Loss (F-3.12 -3.13)</t>
  </si>
  <si>
    <t xml:space="preserve">Ratios </t>
  </si>
  <si>
    <t>Capital Fund to RWA</t>
  </si>
  <si>
    <t>Non Performing Loan (NPL) to Total Loan</t>
  </si>
  <si>
    <t>Total Loan Loss Provision to total NPL</t>
  </si>
  <si>
    <t>Cost of Funds</t>
  </si>
  <si>
    <t>CD Ratio (Calculated as per NRB Directives)</t>
  </si>
  <si>
    <t xml:space="preserve">Note: </t>
  </si>
  <si>
    <t>(Rs. in '000')</t>
  </si>
  <si>
    <t>Corresponding Previous Year Quarter Ending</t>
  </si>
  <si>
    <r>
      <rPr>
        <sz val="9"/>
        <color rgb="FF000000"/>
        <rFont val="Calibri"/>
        <family val="2"/>
      </rPr>
      <t xml:space="preserve"># </t>
    </r>
    <r>
      <rPr>
        <sz val="9"/>
        <color rgb="FF000000"/>
        <rFont val="Calibri"/>
        <family val="2"/>
        <scheme val="minor"/>
      </rPr>
      <t>The previous period figures are regrouped and rearranged whenever necessary.</t>
    </r>
  </si>
  <si>
    <t># Above Financial Figures are subject to change as per the directions of supervisory authority and external auditor.</t>
  </si>
  <si>
    <t>Interest Rate :</t>
  </si>
  <si>
    <t>Unaudited Financial Results (Quarterly)</t>
  </si>
  <si>
    <t>Gurans Laghubitta Bittiya Sanstha Ltd.</t>
  </si>
  <si>
    <t>u'/fF; n3'ljQ ljQLo ;+:yf ln=</t>
  </si>
  <si>
    <t xml:space="preserve">calculation sheet </t>
  </si>
  <si>
    <t xml:space="preserve">Net income </t>
  </si>
  <si>
    <t xml:space="preserve">No Of Share </t>
  </si>
  <si>
    <t xml:space="preserve">Per share income </t>
  </si>
  <si>
    <t>P/E ratio</t>
  </si>
  <si>
    <t xml:space="preserve">Market price per share </t>
  </si>
  <si>
    <t>EPS</t>
  </si>
  <si>
    <t xml:space="preserve">Net worth </t>
  </si>
  <si>
    <t xml:space="preserve">Total Assets </t>
  </si>
  <si>
    <t xml:space="preserve">Total Liability </t>
  </si>
  <si>
    <t xml:space="preserve">Net </t>
  </si>
  <si>
    <t>No share out</t>
  </si>
  <si>
    <t xml:space="preserve">Per share total assets </t>
  </si>
  <si>
    <t xml:space="preserve">No of share outstanding </t>
  </si>
  <si>
    <t xml:space="preserve">Bank and Cash Balance </t>
  </si>
  <si>
    <t>Liquidity Ratio/ Quick ratio</t>
  </si>
  <si>
    <t>Tel:- 021-420453,420323 , Email : guranslbbs@gmail.com, Web: www.guranslaghubitta.com.np</t>
  </si>
  <si>
    <t>Central Office : Hulak Tole, Dhankuta-7, Dhankuta, Corporate Office Budhiganga-1, Morang</t>
  </si>
  <si>
    <t>2. Loan &amp; Advance  14% - 15%</t>
  </si>
  <si>
    <t xml:space="preserve">Gurans Laghubitta Bitiya Sanstha Ltd </t>
  </si>
  <si>
    <t xml:space="preserve">Dhankuta -7, Dhankuta Hulak Tol </t>
  </si>
  <si>
    <t xml:space="preserve">Month </t>
  </si>
  <si>
    <t xml:space="preserve">Cost of Fund as per NRB </t>
  </si>
  <si>
    <t xml:space="preserve">Sharawan </t>
  </si>
  <si>
    <t xml:space="preserve">Bhadra </t>
  </si>
  <si>
    <t xml:space="preserve">Ashoj </t>
  </si>
  <si>
    <t xml:space="preserve">Kartik </t>
  </si>
  <si>
    <t xml:space="preserve">Mangsir </t>
  </si>
  <si>
    <t xml:space="preserve">Poush </t>
  </si>
  <si>
    <t xml:space="preserve">Magh </t>
  </si>
  <si>
    <t xml:space="preserve">Falgun </t>
  </si>
  <si>
    <t xml:space="preserve">Chaitra </t>
  </si>
  <si>
    <t>Baishak 079</t>
  </si>
  <si>
    <t>Jestha 079</t>
  </si>
  <si>
    <t>Ashad 079</t>
  </si>
  <si>
    <t xml:space="preserve">Total </t>
  </si>
  <si>
    <t xml:space="preserve">Average cost of Fund </t>
  </si>
  <si>
    <t>Statement of Cost of Fund for the FY 079.80</t>
  </si>
  <si>
    <t xml:space="preserve">Base Rate </t>
  </si>
  <si>
    <t xml:space="preserve">Cost of Fund </t>
  </si>
  <si>
    <t>Cost of CRR</t>
  </si>
  <si>
    <t>Cost of SLR</t>
  </si>
  <si>
    <t xml:space="preserve">Operating Cost </t>
  </si>
  <si>
    <t>Base Rate</t>
  </si>
  <si>
    <t>As at 2nd Quarter ended on 30 Poush, 2079 of the F/Y 2079/080</t>
  </si>
  <si>
    <t>1. Deposit                         2% - 10%</t>
  </si>
  <si>
    <t xml:space="preserve">Deposit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</si>
</sst>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0.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i/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b/>
      <sz val="20"/>
      <color rgb="FF000000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rgb="FF000000"/>
      <name val="Arial Black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Preeti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9" fillId="0" borderId="0"/>
    <xf numFmtId="165" fontId="9" fillId="0" borderId="0"/>
    <xf numFmtId="43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2">
    <xf numFmtId="0" fontId="0" fillId="0" borderId="0" xfId="0"/>
    <xf numFmtId="0" fontId="0" fillId="3" borderId="0" xfId="0" applyFill="1"/>
    <xf numFmtId="2" fontId="0" fillId="0" borderId="0" xfId="0" applyNumberFormat="1"/>
    <xf numFmtId="43" fontId="0" fillId="0" borderId="0" xfId="5" applyFont="1"/>
    <xf numFmtId="0" fontId="0" fillId="0" borderId="1" xfId="0" applyBorder="1"/>
    <xf numFmtId="43" fontId="0" fillId="0" borderId="1" xfId="5" applyFont="1" applyBorder="1"/>
    <xf numFmtId="2" fontId="0" fillId="0" borderId="1" xfId="0" applyNumberFormat="1" applyBorder="1"/>
    <xf numFmtId="0" fontId="20" fillId="0" borderId="1" xfId="0" applyFont="1" applyBorder="1"/>
    <xf numFmtId="43" fontId="20" fillId="0" borderId="1" xfId="5" applyFont="1" applyBorder="1"/>
    <xf numFmtId="2" fontId="20" fillId="0" borderId="1" xfId="0" applyNumberFormat="1" applyFont="1" applyBorder="1"/>
    <xf numFmtId="164" fontId="0" fillId="0" borderId="0" xfId="0" applyNumberFormat="1"/>
    <xf numFmtId="0" fontId="3" fillId="5" borderId="1" xfId="0" applyFont="1" applyFill="1" applyBorder="1"/>
    <xf numFmtId="43" fontId="2" fillId="5" borderId="1" xfId="5" applyFont="1" applyFill="1" applyBorder="1" applyAlignment="1">
      <alignment horizontal="right"/>
    </xf>
    <xf numFmtId="0" fontId="4" fillId="0" borderId="1" xfId="0" applyFont="1" applyBorder="1"/>
    <xf numFmtId="43" fontId="4" fillId="0" borderId="1" xfId="5" applyFont="1" applyBorder="1" applyAlignment="1">
      <alignment horizontal="right"/>
    </xf>
    <xf numFmtId="43" fontId="4" fillId="0" borderId="1" xfId="5" applyFont="1" applyBorder="1" applyAlignment="1">
      <alignment horizontal="center"/>
    </xf>
    <xf numFmtId="43" fontId="2" fillId="0" borderId="1" xfId="5" applyFont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10" fontId="2" fillId="0" borderId="1" xfId="1" applyNumberFormat="1" applyFont="1" applyBorder="1" applyAlignment="1">
      <alignment horizontal="right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/>
    </xf>
    <xf numFmtId="43" fontId="2" fillId="5" borderId="6" xfId="5" applyFont="1" applyFill="1" applyBorder="1" applyAlignment="1">
      <alignment horizontal="right"/>
    </xf>
    <xf numFmtId="0" fontId="4" fillId="0" borderId="5" xfId="0" applyFont="1" applyBorder="1" applyAlignment="1">
      <alignment horizontal="right"/>
    </xf>
    <xf numFmtId="43" fontId="4" fillId="0" borderId="6" xfId="5" applyFont="1" applyBorder="1" applyAlignment="1">
      <alignment horizontal="right"/>
    </xf>
    <xf numFmtId="43" fontId="4" fillId="0" borderId="6" xfId="5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5" xfId="0" applyFont="1" applyBorder="1"/>
    <xf numFmtId="43" fontId="2" fillId="0" borderId="6" xfId="5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2" fontId="5" fillId="0" borderId="5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0" fontId="2" fillId="0" borderId="6" xfId="0" applyNumberFormat="1" applyFont="1" applyBorder="1" applyAlignment="1">
      <alignment horizontal="right"/>
    </xf>
    <xf numFmtId="0" fontId="6" fillId="0" borderId="5" xfId="0" applyFont="1" applyBorder="1" applyAlignment="1">
      <alignment horizontal="center" vertical="top"/>
    </xf>
    <xf numFmtId="0" fontId="2" fillId="3" borderId="8" xfId="0" applyFont="1" applyFill="1" applyBorder="1" applyAlignment="1">
      <alignment wrapText="1"/>
    </xf>
    <xf numFmtId="0" fontId="14" fillId="3" borderId="9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right"/>
    </xf>
    <xf numFmtId="0" fontId="6" fillId="3" borderId="13" xfId="0" applyFont="1" applyFill="1" applyBorder="1" applyAlignment="1">
      <alignment vertical="top"/>
    </xf>
    <xf numFmtId="166" fontId="20" fillId="0" borderId="1" xfId="0" applyNumberFormat="1" applyFont="1" applyBorder="1"/>
    <xf numFmtId="43" fontId="0" fillId="0" borderId="0" xfId="0" applyNumberFormat="1"/>
    <xf numFmtId="10" fontId="2" fillId="0" borderId="1" xfId="0" applyNumberFormat="1" applyFont="1" applyFill="1" applyBorder="1" applyAlignment="1">
      <alignment horizontal="right"/>
    </xf>
    <xf numFmtId="43" fontId="0" fillId="3" borderId="0" xfId="0" applyNumberFormat="1" applyFill="1"/>
    <xf numFmtId="0" fontId="23" fillId="0" borderId="0" xfId="0" applyFont="1"/>
    <xf numFmtId="0" fontId="23" fillId="0" borderId="1" xfId="0" applyFont="1" applyBorder="1"/>
    <xf numFmtId="0" fontId="23" fillId="0" borderId="1" xfId="0" applyFont="1" applyBorder="1" applyAlignment="1">
      <alignment horizontal="left" indent="2"/>
    </xf>
    <xf numFmtId="43" fontId="23" fillId="0" borderId="1" xfId="5" applyFont="1" applyBorder="1"/>
    <xf numFmtId="43" fontId="23" fillId="0" borderId="0" xfId="0" applyNumberFormat="1" applyFont="1"/>
    <xf numFmtId="43" fontId="23" fillId="0" borderId="0" xfId="5" applyFont="1"/>
    <xf numFmtId="0" fontId="24" fillId="0" borderId="1" xfId="0" applyFont="1" applyBorder="1" applyAlignment="1">
      <alignment horizontal="left" indent="2"/>
    </xf>
    <xf numFmtId="43" fontId="24" fillId="0" borderId="1" xfId="5" applyFont="1" applyBorder="1"/>
    <xf numFmtId="0" fontId="24" fillId="0" borderId="1" xfId="0" applyFont="1" applyBorder="1"/>
    <xf numFmtId="2" fontId="20" fillId="6" borderId="1" xfId="0" applyNumberFormat="1" applyFont="1" applyFill="1" applyBorder="1"/>
    <xf numFmtId="43" fontId="0" fillId="3" borderId="0" xfId="5" applyFont="1" applyFill="1"/>
    <xf numFmtId="2" fontId="0" fillId="3" borderId="0" xfId="0" applyNumberFormat="1" applyFill="1"/>
    <xf numFmtId="43" fontId="0" fillId="6" borderId="1" xfId="5" applyFont="1" applyFill="1" applyBorder="1"/>
    <xf numFmtId="43" fontId="23" fillId="0" borderId="1" xfId="0" applyNumberFormat="1" applyFont="1" applyBorder="1" applyAlignment="1"/>
    <xf numFmtId="0" fontId="23" fillId="0" borderId="1" xfId="0" applyFont="1" applyBorder="1" applyAlignment="1"/>
    <xf numFmtId="2" fontId="23" fillId="0" borderId="1" xfId="0" applyNumberFormat="1" applyFont="1" applyBorder="1" applyAlignment="1"/>
    <xf numFmtId="0" fontId="13" fillId="4" borderId="1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left" vertical="top"/>
    </xf>
    <xf numFmtId="0" fontId="7" fillId="3" borderId="7" xfId="0" applyFont="1" applyFill="1" applyBorder="1" applyAlignment="1">
      <alignment horizontal="left" vertical="top"/>
    </xf>
    <xf numFmtId="0" fontId="0" fillId="3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0" fillId="3" borderId="0" xfId="0" applyFont="1" applyFill="1" applyBorder="1" applyAlignment="1">
      <alignment horizontal="right"/>
    </xf>
    <xf numFmtId="0" fontId="7" fillId="3" borderId="0" xfId="0" applyFont="1" applyFill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23" fillId="0" borderId="1" xfId="0" applyFont="1" applyBorder="1" applyAlignment="1">
      <alignment horizontal="center"/>
    </xf>
  </cellXfs>
  <cellStyles count="7">
    <cellStyle name="Comma" xfId="5" builtinId="3"/>
    <cellStyle name="Comma 2" xfId="2"/>
    <cellStyle name="Normal" xfId="0" builtinId="0"/>
    <cellStyle name="Normal 15_Reporting Format_all forms" xfId="3"/>
    <cellStyle name="Normal 19_Reporting Format_all forms" xfId="4"/>
    <cellStyle name="Percent" xfId="1" builtinId="5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104776</xdr:rowOff>
    </xdr:from>
    <xdr:to>
      <xdr:col>1</xdr:col>
      <xdr:colOff>361950</xdr:colOff>
      <xdr:row>2</xdr:row>
      <xdr:rowOff>46394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4776"/>
          <a:ext cx="752474" cy="8369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RB%20Report/Monthly%20%20report/2078.79/03%20Ashad%20079/Report%20to%20NRB/NRB%20Reporting%20Final%202079.04.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RB%20Report/Monthly%20%20report/2078.79/12%20Chaitra%20078/NRB%20Chaitra%2007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 Page"/>
      <sheetName val="s"/>
      <sheetName val="1.1"/>
      <sheetName val="1.2"/>
      <sheetName val="w1"/>
      <sheetName val="9.1"/>
      <sheetName val="9.2"/>
      <sheetName val="9.7"/>
      <sheetName val="13.2"/>
      <sheetName val="13.3"/>
      <sheetName val="15.1"/>
      <sheetName val="15.2"/>
      <sheetName val="17.2"/>
      <sheetName val="9.6 Account Summary"/>
      <sheetName val="9.6"/>
      <sheetName val="9.3"/>
      <sheetName val="9.4"/>
      <sheetName val="w2"/>
      <sheetName val="9.5"/>
      <sheetName val="9.6AB"/>
      <sheetName val="9.8"/>
      <sheetName val="9.9"/>
      <sheetName val="2.1"/>
      <sheetName val="w3"/>
      <sheetName val="2.2"/>
      <sheetName val="2.3"/>
      <sheetName val="5.1"/>
      <sheetName val="5.2"/>
      <sheetName val="6.2"/>
      <sheetName val="17.1"/>
      <sheetName val="17.3"/>
      <sheetName val="Bank code"/>
      <sheetName val="ProvinceDistri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I2" t="str">
            <v>Province1</v>
          </cell>
        </row>
        <row r="3">
          <cell r="I3" t="str">
            <v>Province2</v>
          </cell>
        </row>
        <row r="4">
          <cell r="I4" t="str">
            <v>Province3</v>
          </cell>
        </row>
        <row r="5">
          <cell r="I5" t="str">
            <v>Province4</v>
          </cell>
        </row>
        <row r="6">
          <cell r="I6" t="str">
            <v>Province5</v>
          </cell>
        </row>
        <row r="7">
          <cell r="I7" t="str">
            <v>Province6</v>
          </cell>
        </row>
        <row r="8">
          <cell r="I8" t="str">
            <v>Province7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 Page"/>
      <sheetName val="s"/>
      <sheetName val="1.1"/>
      <sheetName val="1.2"/>
      <sheetName val="w1"/>
      <sheetName val="9.1"/>
      <sheetName val="9.2"/>
      <sheetName val="9.7"/>
      <sheetName val="13.2"/>
      <sheetName val="13.3"/>
      <sheetName val="15.1"/>
      <sheetName val="15.2"/>
      <sheetName val="17.2"/>
      <sheetName val="9.6 Account Summary"/>
      <sheetName val="9.6"/>
      <sheetName val="9.3"/>
      <sheetName val="9.4"/>
      <sheetName val="w2"/>
      <sheetName val="9.5"/>
      <sheetName val="9.6AB"/>
      <sheetName val="9.8"/>
      <sheetName val="9.9"/>
      <sheetName val="2.1"/>
      <sheetName val="w3"/>
      <sheetName val="2.2"/>
      <sheetName val="2.3"/>
      <sheetName val="5.1"/>
      <sheetName val="5.2"/>
      <sheetName val="6.2"/>
      <sheetName val="17.1"/>
      <sheetName val="17.3"/>
      <sheetName val="Bank code"/>
      <sheetName val="ProvinceDistri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D9">
            <v>30741.858597272741</v>
          </cell>
        </row>
        <row r="55">
          <cell r="D55">
            <v>10513.951897272724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view="pageBreakPreview" topLeftCell="A28" zoomScaleSheetLayoutView="100" workbookViewId="0">
      <selection activeCell="C52" sqref="C52"/>
    </sheetView>
  </sheetViews>
  <sheetFormatPr defaultRowHeight="12.95" customHeight="1" x14ac:dyDescent="0.25"/>
  <cols>
    <col min="1" max="1" width="7" customWidth="1"/>
    <col min="2" max="2" width="40.5703125" customWidth="1"/>
    <col min="3" max="3" width="15.85546875" customWidth="1"/>
    <col min="4" max="4" width="19.140625" customWidth="1"/>
    <col min="5" max="5" width="16.7109375" customWidth="1"/>
    <col min="6" max="6" width="11.5703125" customWidth="1"/>
    <col min="7" max="7" width="12.28515625" style="3" customWidth="1"/>
    <col min="8" max="8" width="11.28515625" bestFit="1" customWidth="1"/>
    <col min="9" max="10" width="10" customWidth="1"/>
    <col min="11" max="11" width="11" customWidth="1"/>
  </cols>
  <sheetData>
    <row r="1" spans="1:9" ht="33.75" x14ac:dyDescent="0.25">
      <c r="A1" s="71"/>
      <c r="B1" s="70" t="s">
        <v>64</v>
      </c>
      <c r="C1" s="70"/>
      <c r="D1" s="70"/>
      <c r="E1" s="70"/>
      <c r="F1" s="1"/>
      <c r="G1" s="59"/>
      <c r="H1" s="1"/>
      <c r="I1" s="1"/>
    </row>
    <row r="2" spans="1:9" ht="36.75" customHeight="1" x14ac:dyDescent="0.25">
      <c r="A2" s="71"/>
      <c r="B2" s="72" t="s">
        <v>65</v>
      </c>
      <c r="C2" s="72"/>
      <c r="D2" s="72"/>
      <c r="E2" s="72"/>
      <c r="F2" s="1"/>
      <c r="G2" s="59"/>
      <c r="H2" s="1"/>
      <c r="I2" s="1"/>
    </row>
    <row r="3" spans="1:9" ht="15" customHeight="1" x14ac:dyDescent="0.25">
      <c r="A3" s="75" t="s">
        <v>83</v>
      </c>
      <c r="B3" s="75"/>
      <c r="C3" s="75"/>
      <c r="D3" s="75"/>
      <c r="E3" s="75"/>
      <c r="F3" s="1"/>
      <c r="G3" s="59"/>
      <c r="H3" s="1"/>
      <c r="I3" s="1"/>
    </row>
    <row r="4" spans="1:9" ht="13.5" customHeight="1" x14ac:dyDescent="0.25">
      <c r="A4" s="75" t="s">
        <v>82</v>
      </c>
      <c r="B4" s="75"/>
      <c r="C4" s="75"/>
      <c r="D4" s="75"/>
      <c r="E4" s="75"/>
      <c r="F4" s="1"/>
      <c r="G4" s="59"/>
      <c r="H4" s="1"/>
      <c r="I4" s="1"/>
    </row>
    <row r="5" spans="1:9" ht="24.75" customHeight="1" x14ac:dyDescent="0.4">
      <c r="A5" s="76" t="s">
        <v>63</v>
      </c>
      <c r="B5" s="76"/>
      <c r="C5" s="76"/>
      <c r="D5" s="76"/>
      <c r="E5" s="76"/>
      <c r="F5" s="1"/>
      <c r="G5" s="59"/>
      <c r="H5" s="1"/>
      <c r="I5" s="1"/>
    </row>
    <row r="6" spans="1:9" ht="15" customHeight="1" x14ac:dyDescent="0.25">
      <c r="A6" s="77" t="s">
        <v>110</v>
      </c>
      <c r="B6" s="77"/>
      <c r="C6" s="77"/>
      <c r="D6" s="77"/>
      <c r="E6" s="77"/>
      <c r="F6" s="1"/>
      <c r="G6" s="59"/>
      <c r="H6" s="1"/>
      <c r="I6" s="1"/>
    </row>
    <row r="7" spans="1:9" ht="13.5" customHeight="1" thickBot="1" x14ac:dyDescent="0.3">
      <c r="A7" s="78" t="s">
        <v>58</v>
      </c>
      <c r="B7" s="78"/>
      <c r="C7" s="78"/>
      <c r="D7" s="78"/>
      <c r="E7" s="78"/>
      <c r="F7" s="1"/>
      <c r="G7" s="59"/>
      <c r="H7" s="1"/>
      <c r="I7" s="1"/>
    </row>
    <row r="8" spans="1:9" ht="41.25" customHeight="1" x14ac:dyDescent="0.25">
      <c r="A8" s="24" t="s">
        <v>0</v>
      </c>
      <c r="B8" s="25" t="s">
        <v>1</v>
      </c>
      <c r="C8" s="26" t="s">
        <v>2</v>
      </c>
      <c r="D8" s="26" t="s">
        <v>3</v>
      </c>
      <c r="E8" s="27" t="s">
        <v>59</v>
      </c>
      <c r="F8" s="1"/>
      <c r="G8" s="59"/>
      <c r="H8" s="1"/>
      <c r="I8" s="1"/>
    </row>
    <row r="9" spans="1:9" ht="15" customHeight="1" x14ac:dyDescent="0.25">
      <c r="A9" s="28">
        <v>1</v>
      </c>
      <c r="B9" s="11" t="s">
        <v>4</v>
      </c>
      <c r="C9" s="12">
        <f>C10+C11+C13+C14+C17+C18</f>
        <v>1361683.1</v>
      </c>
      <c r="D9" s="12">
        <f>D10+D11+D13+D14+D17+D18</f>
        <v>1383241.43</v>
      </c>
      <c r="E9" s="29">
        <f>E10+E11+E13+E14+E17+E18</f>
        <v>1319637.9800000002</v>
      </c>
      <c r="F9" s="60"/>
      <c r="G9" s="59"/>
      <c r="H9" s="1"/>
      <c r="I9" s="1"/>
    </row>
    <row r="10" spans="1:9" ht="15" customHeight="1" x14ac:dyDescent="0.25">
      <c r="A10" s="30">
        <v>1.1000000000000001</v>
      </c>
      <c r="B10" s="13" t="s">
        <v>5</v>
      </c>
      <c r="C10" s="14">
        <f>97500+3900</f>
        <v>101400</v>
      </c>
      <c r="D10" s="14">
        <v>97500</v>
      </c>
      <c r="E10" s="31">
        <v>97500</v>
      </c>
      <c r="F10" s="1"/>
      <c r="G10" s="59"/>
      <c r="H10" s="1"/>
      <c r="I10" s="1"/>
    </row>
    <row r="11" spans="1:9" ht="15" customHeight="1" x14ac:dyDescent="0.25">
      <c r="A11" s="30">
        <v>1.2</v>
      </c>
      <c r="B11" s="13" t="s">
        <v>6</v>
      </c>
      <c r="C11" s="14">
        <f>24449.07-3900</f>
        <v>20549.07</v>
      </c>
      <c r="D11" s="14">
        <v>26742.21</v>
      </c>
      <c r="E11" s="31">
        <v>27630.63</v>
      </c>
      <c r="F11" s="1"/>
      <c r="G11" s="59">
        <f>'[2]9.5'!$D$9</f>
        <v>30741.858597272741</v>
      </c>
      <c r="H11" s="1"/>
      <c r="I11" s="1"/>
    </row>
    <row r="12" spans="1:9" ht="15" customHeight="1" x14ac:dyDescent="0.25">
      <c r="A12" s="30">
        <v>1.3</v>
      </c>
      <c r="B12" s="13" t="s">
        <v>7</v>
      </c>
      <c r="C12" s="15"/>
      <c r="D12" s="15" t="s">
        <v>8</v>
      </c>
      <c r="E12" s="32" t="s">
        <v>8</v>
      </c>
      <c r="F12" s="1"/>
      <c r="G12" s="59"/>
      <c r="H12" s="1"/>
      <c r="I12" s="1"/>
    </row>
    <row r="13" spans="1:9" ht="15" customHeight="1" x14ac:dyDescent="0.25">
      <c r="A13" s="30">
        <v>1.4</v>
      </c>
      <c r="B13" s="13" t="s">
        <v>9</v>
      </c>
      <c r="C13" s="14">
        <v>802435.25</v>
      </c>
      <c r="D13" s="14">
        <v>827725.95</v>
      </c>
      <c r="E13" s="32">
        <v>841025.05</v>
      </c>
      <c r="F13" s="1"/>
      <c r="G13" s="59"/>
      <c r="H13" s="1"/>
      <c r="I13" s="1"/>
    </row>
    <row r="14" spans="1:9" ht="15" customHeight="1" x14ac:dyDescent="0.25">
      <c r="A14" s="33">
        <v>1.5</v>
      </c>
      <c r="B14" s="13" t="s">
        <v>10</v>
      </c>
      <c r="C14" s="14">
        <f>C15</f>
        <v>323901.21999999997</v>
      </c>
      <c r="D14" s="14">
        <f>D15</f>
        <v>311058.31</v>
      </c>
      <c r="E14" s="14">
        <f>E15</f>
        <v>246448.95</v>
      </c>
      <c r="F14" s="48">
        <f>C14-E14</f>
        <v>77452.26999999996</v>
      </c>
      <c r="G14" s="59"/>
      <c r="H14" s="1"/>
      <c r="I14" s="1"/>
    </row>
    <row r="15" spans="1:9" ht="15" customHeight="1" x14ac:dyDescent="0.25">
      <c r="A15" s="34"/>
      <c r="B15" s="13" t="s">
        <v>11</v>
      </c>
      <c r="C15" s="14">
        <v>323901.21999999997</v>
      </c>
      <c r="D15" s="14">
        <v>311058.31</v>
      </c>
      <c r="E15" s="31">
        <v>246448.95</v>
      </c>
      <c r="F15" s="1"/>
      <c r="G15" s="59"/>
      <c r="H15" s="1"/>
      <c r="I15" s="1"/>
    </row>
    <row r="16" spans="1:9" ht="15" customHeight="1" x14ac:dyDescent="0.25">
      <c r="A16" s="34"/>
      <c r="B16" s="13" t="s">
        <v>12</v>
      </c>
      <c r="C16" s="14" t="s">
        <v>8</v>
      </c>
      <c r="D16" s="16" t="s">
        <v>8</v>
      </c>
      <c r="E16" s="35" t="s">
        <v>8</v>
      </c>
      <c r="F16" s="1"/>
      <c r="G16" s="59"/>
      <c r="H16" s="1"/>
      <c r="I16" s="1"/>
    </row>
    <row r="17" spans="1:9" ht="15" customHeight="1" x14ac:dyDescent="0.25">
      <c r="A17" s="33">
        <v>1.6</v>
      </c>
      <c r="B17" s="13" t="s">
        <v>13</v>
      </c>
      <c r="C17" s="14">
        <v>106.27</v>
      </c>
      <c r="D17" s="14">
        <v>5315.05</v>
      </c>
      <c r="E17" s="31">
        <v>3166.8</v>
      </c>
      <c r="F17" s="48">
        <f>C17-E17</f>
        <v>-3060.53</v>
      </c>
      <c r="G17" s="59"/>
      <c r="H17" s="1"/>
      <c r="I17" s="1"/>
    </row>
    <row r="18" spans="1:9" ht="15" customHeight="1" x14ac:dyDescent="0.25">
      <c r="A18" s="33">
        <v>1.7</v>
      </c>
      <c r="B18" s="13" t="s">
        <v>14</v>
      </c>
      <c r="C18" s="14">
        <v>113291.29</v>
      </c>
      <c r="D18" s="14">
        <v>114899.91</v>
      </c>
      <c r="E18" s="31">
        <v>103866.55</v>
      </c>
      <c r="F18" s="48">
        <f>C18-E18</f>
        <v>9424.7399999999907</v>
      </c>
      <c r="G18" s="59"/>
      <c r="H18" s="1"/>
      <c r="I18" s="1"/>
    </row>
    <row r="19" spans="1:9" ht="15" customHeight="1" x14ac:dyDescent="0.25">
      <c r="A19" s="28">
        <v>2</v>
      </c>
      <c r="B19" s="11" t="s">
        <v>15</v>
      </c>
      <c r="C19" s="12">
        <f>C20+C21+C23+C24+C26+C22</f>
        <v>1361683.0999999999</v>
      </c>
      <c r="D19" s="12">
        <f>D20+D21+D23+D24+D26+D22</f>
        <v>1383241.43</v>
      </c>
      <c r="E19" s="29">
        <f>E20+E21+E23+E24+E26+E22</f>
        <v>1319637.9799999997</v>
      </c>
      <c r="F19" s="48">
        <f>D19-D9</f>
        <v>0</v>
      </c>
      <c r="G19" s="59">
        <f>E19-E9</f>
        <v>0</v>
      </c>
      <c r="H19" s="48">
        <f>C19-C9</f>
        <v>0</v>
      </c>
      <c r="I19" s="1"/>
    </row>
    <row r="20" spans="1:9" ht="15" customHeight="1" x14ac:dyDescent="0.25">
      <c r="A20" s="33">
        <v>2.1</v>
      </c>
      <c r="B20" s="13" t="s">
        <v>16</v>
      </c>
      <c r="C20" s="14">
        <v>12733.22</v>
      </c>
      <c r="D20" s="14">
        <v>16960.96</v>
      </c>
      <c r="E20" s="31">
        <v>13013.26</v>
      </c>
      <c r="F20" s="1"/>
      <c r="G20" s="59"/>
      <c r="H20" s="1"/>
      <c r="I20" s="1"/>
    </row>
    <row r="21" spans="1:9" ht="15" customHeight="1" x14ac:dyDescent="0.25">
      <c r="A21" s="33">
        <v>2.2000000000000002</v>
      </c>
      <c r="B21" s="13" t="s">
        <v>17</v>
      </c>
      <c r="C21" s="14">
        <v>46219.99</v>
      </c>
      <c r="D21" s="14">
        <v>31609.09</v>
      </c>
      <c r="E21" s="31">
        <v>20813.2</v>
      </c>
      <c r="F21" s="1"/>
      <c r="G21" s="59"/>
      <c r="H21" s="1"/>
      <c r="I21" s="1"/>
    </row>
    <row r="22" spans="1:9" ht="15" customHeight="1" x14ac:dyDescent="0.25">
      <c r="A22" s="33">
        <v>2.2999999999999998</v>
      </c>
      <c r="B22" s="13" t="s">
        <v>18</v>
      </c>
      <c r="C22" s="14">
        <v>10000</v>
      </c>
      <c r="D22" s="14">
        <v>10000</v>
      </c>
      <c r="E22" s="31">
        <v>10000</v>
      </c>
      <c r="F22" s="1"/>
      <c r="G22" s="59"/>
      <c r="H22" s="1"/>
      <c r="I22" s="1"/>
    </row>
    <row r="23" spans="1:9" ht="15" customHeight="1" x14ac:dyDescent="0.25">
      <c r="A23" s="33">
        <v>2.4</v>
      </c>
      <c r="B23" s="13" t="s">
        <v>19</v>
      </c>
      <c r="C23" s="14">
        <v>1216157.74</v>
      </c>
      <c r="D23" s="14">
        <v>1245695.68</v>
      </c>
      <c r="E23" s="31">
        <v>1179188.1299999999</v>
      </c>
      <c r="F23" s="48">
        <f>C23-E23</f>
        <v>36969.610000000102</v>
      </c>
      <c r="G23" s="59">
        <f>F23/E23*100</f>
        <v>3.1351748766331378</v>
      </c>
      <c r="H23" s="1"/>
      <c r="I23" s="1"/>
    </row>
    <row r="24" spans="1:9" ht="15" customHeight="1" x14ac:dyDescent="0.25">
      <c r="A24" s="33">
        <v>2.5</v>
      </c>
      <c r="B24" s="13" t="s">
        <v>20</v>
      </c>
      <c r="C24" s="14">
        <v>21251.439999999999</v>
      </c>
      <c r="D24" s="14">
        <v>20805.14</v>
      </c>
      <c r="E24" s="31">
        <v>19460.939999999999</v>
      </c>
      <c r="F24" s="48">
        <f>C24-E24</f>
        <v>1790.5</v>
      </c>
      <c r="G24" s="59"/>
      <c r="H24" s="1"/>
      <c r="I24" s="1"/>
    </row>
    <row r="25" spans="1:9" ht="15" customHeight="1" x14ac:dyDescent="0.25">
      <c r="A25" s="33">
        <v>2.6</v>
      </c>
      <c r="B25" s="13" t="s">
        <v>21</v>
      </c>
      <c r="C25" s="14">
        <v>0</v>
      </c>
      <c r="D25" s="14">
        <v>0</v>
      </c>
      <c r="E25" s="31">
        <v>0</v>
      </c>
      <c r="F25" s="48">
        <f t="shared" ref="F25:F38" si="0">C25-E25</f>
        <v>0</v>
      </c>
      <c r="G25" s="59"/>
      <c r="H25" s="1"/>
      <c r="I25" s="1"/>
    </row>
    <row r="26" spans="1:9" ht="15" customHeight="1" x14ac:dyDescent="0.25">
      <c r="A26" s="33">
        <v>2.7</v>
      </c>
      <c r="B26" s="13" t="s">
        <v>22</v>
      </c>
      <c r="C26" s="14">
        <v>55320.71</v>
      </c>
      <c r="D26" s="14">
        <v>58170.559999999998</v>
      </c>
      <c r="E26" s="31">
        <v>77162.45</v>
      </c>
      <c r="F26" s="48">
        <f>C26-E26</f>
        <v>-21841.739999999998</v>
      </c>
      <c r="G26" s="59"/>
      <c r="H26" s="1"/>
      <c r="I26" s="1"/>
    </row>
    <row r="27" spans="1:9" ht="15" customHeight="1" x14ac:dyDescent="0.25">
      <c r="A27" s="28">
        <v>3</v>
      </c>
      <c r="B27" s="17" t="s">
        <v>23</v>
      </c>
      <c r="C27" s="12" t="s">
        <v>8</v>
      </c>
      <c r="D27" s="12" t="s">
        <v>8</v>
      </c>
      <c r="E27" s="29" t="s">
        <v>8</v>
      </c>
      <c r="F27" s="1"/>
      <c r="G27" s="59"/>
      <c r="H27" s="1"/>
      <c r="I27" s="1"/>
    </row>
    <row r="28" spans="1:9" ht="15" customHeight="1" x14ac:dyDescent="0.25">
      <c r="A28" s="33">
        <v>3.1</v>
      </c>
      <c r="B28" s="13" t="s">
        <v>24</v>
      </c>
      <c r="C28" s="14">
        <v>82322.48</v>
      </c>
      <c r="D28" s="14">
        <v>36113.33</v>
      </c>
      <c r="E28" s="35">
        <v>74211</v>
      </c>
      <c r="F28" s="48">
        <f>C28-E28</f>
        <v>8111.4799999999959</v>
      </c>
      <c r="G28" s="59">
        <f>F28/E28*100</f>
        <v>10.93029335273746</v>
      </c>
      <c r="H28" s="1"/>
      <c r="I28" s="1"/>
    </row>
    <row r="29" spans="1:9" ht="15" customHeight="1" x14ac:dyDescent="0.25">
      <c r="A29" s="33">
        <v>3.2</v>
      </c>
      <c r="B29" s="13" t="s">
        <v>25</v>
      </c>
      <c r="C29" s="14">
        <v>59869.15</v>
      </c>
      <c r="D29" s="14">
        <v>30185.81</v>
      </c>
      <c r="E29" s="35">
        <v>39087.4</v>
      </c>
      <c r="F29" s="48">
        <f t="shared" si="0"/>
        <v>20781.75</v>
      </c>
      <c r="G29" s="59">
        <f>F29/E29*100</f>
        <v>53.167388979568862</v>
      </c>
      <c r="H29" s="1"/>
      <c r="I29" s="1"/>
    </row>
    <row r="30" spans="1:9" ht="15" customHeight="1" x14ac:dyDescent="0.25">
      <c r="A30" s="36" t="s">
        <v>26</v>
      </c>
      <c r="B30" s="18" t="s">
        <v>27</v>
      </c>
      <c r="C30" s="16">
        <f>C28-C29</f>
        <v>22453.329999999994</v>
      </c>
      <c r="D30" s="16">
        <f>D28-D29</f>
        <v>5927.52</v>
      </c>
      <c r="E30" s="35">
        <f>E28-E29</f>
        <v>35123.599999999999</v>
      </c>
      <c r="F30" s="1"/>
      <c r="G30" s="59"/>
      <c r="H30" s="1"/>
      <c r="I30" s="1"/>
    </row>
    <row r="31" spans="1:9" ht="15" customHeight="1" x14ac:dyDescent="0.25">
      <c r="A31" s="33">
        <v>3.3</v>
      </c>
      <c r="B31" s="13" t="s">
        <v>28</v>
      </c>
      <c r="C31" s="14">
        <v>478.91</v>
      </c>
      <c r="D31" s="14">
        <v>326.45</v>
      </c>
      <c r="E31" s="35">
        <v>782.1</v>
      </c>
      <c r="F31" s="48">
        <f t="shared" si="0"/>
        <v>-303.19</v>
      </c>
      <c r="G31" s="59">
        <f>F31/E31*100</f>
        <v>-38.766142437028513</v>
      </c>
      <c r="H31" s="1"/>
      <c r="I31" s="1"/>
    </row>
    <row r="32" spans="1:9" ht="15" customHeight="1" x14ac:dyDescent="0.25">
      <c r="A32" s="33">
        <v>3.4</v>
      </c>
      <c r="B32" s="13" t="s">
        <v>29</v>
      </c>
      <c r="C32" s="14">
        <v>12380.73</v>
      </c>
      <c r="D32" s="14">
        <v>6228.09</v>
      </c>
      <c r="E32" s="35">
        <v>14283.78</v>
      </c>
      <c r="F32" s="48">
        <f t="shared" si="0"/>
        <v>-1903.0500000000011</v>
      </c>
      <c r="G32" s="59">
        <f>F32/E32*100</f>
        <v>-13.32315395504552</v>
      </c>
      <c r="H32" s="1"/>
      <c r="I32" s="1"/>
    </row>
    <row r="33" spans="1:11" ht="15" customHeight="1" x14ac:dyDescent="0.25">
      <c r="A33" s="33">
        <v>3.5</v>
      </c>
      <c r="B33" s="13" t="s">
        <v>30</v>
      </c>
      <c r="C33" s="14" t="s">
        <v>8</v>
      </c>
      <c r="D33" s="16" t="s">
        <v>8</v>
      </c>
      <c r="E33" s="35" t="s">
        <v>8</v>
      </c>
      <c r="F33" s="48"/>
      <c r="G33" s="59"/>
      <c r="H33" s="1"/>
      <c r="I33" s="1"/>
    </row>
    <row r="34" spans="1:11" ht="15" customHeight="1" x14ac:dyDescent="0.25">
      <c r="A34" s="36" t="s">
        <v>31</v>
      </c>
      <c r="B34" s="18" t="s">
        <v>32</v>
      </c>
      <c r="C34" s="16">
        <f>C30+C32+C31</f>
        <v>35312.97</v>
      </c>
      <c r="D34" s="16">
        <f>D32+D30+D31</f>
        <v>12482.060000000001</v>
      </c>
      <c r="E34" s="35">
        <f>E32+E30+E31</f>
        <v>50189.479999999996</v>
      </c>
      <c r="F34" s="1"/>
      <c r="G34" s="59"/>
      <c r="H34" s="1"/>
      <c r="I34" s="1"/>
    </row>
    <row r="35" spans="1:11" ht="15" customHeight="1" x14ac:dyDescent="0.25">
      <c r="A35" s="33">
        <v>3.6</v>
      </c>
      <c r="B35" s="13" t="s">
        <v>33</v>
      </c>
      <c r="C35" s="14">
        <v>26848.799999999999</v>
      </c>
      <c r="D35" s="14">
        <v>14387.4</v>
      </c>
      <c r="E35" s="35">
        <v>25735.54</v>
      </c>
      <c r="F35" s="48">
        <f t="shared" si="0"/>
        <v>1113.2599999999984</v>
      </c>
      <c r="G35" s="59">
        <f>F35/E35*100</f>
        <v>4.3257689560817392</v>
      </c>
      <c r="H35" s="1"/>
      <c r="I35" s="1"/>
    </row>
    <row r="36" spans="1:11" ht="15" customHeight="1" x14ac:dyDescent="0.25">
      <c r="A36" s="33">
        <v>3.7</v>
      </c>
      <c r="B36" s="13" t="s">
        <v>34</v>
      </c>
      <c r="C36" s="14">
        <v>9846.3700000000008</v>
      </c>
      <c r="D36" s="14">
        <v>3481.83</v>
      </c>
      <c r="E36" s="35">
        <v>9458.4500000000007</v>
      </c>
      <c r="F36" s="48">
        <f t="shared" si="0"/>
        <v>387.92000000000007</v>
      </c>
      <c r="G36" s="59">
        <f>F36/E36*100</f>
        <v>4.1013062393944049</v>
      </c>
      <c r="H36" s="1"/>
      <c r="I36" s="1"/>
    </row>
    <row r="37" spans="1:11" ht="15" customHeight="1" x14ac:dyDescent="0.25">
      <c r="A37" s="36" t="s">
        <v>35</v>
      </c>
      <c r="B37" s="18" t="s">
        <v>36</v>
      </c>
      <c r="C37" s="16">
        <f>C34-C35-C36</f>
        <v>-1382.1999999999989</v>
      </c>
      <c r="D37" s="16">
        <f>D34-D35-D36</f>
        <v>-5387.1699999999983</v>
      </c>
      <c r="E37" s="35">
        <f>E34-E35-E36</f>
        <v>14995.489999999994</v>
      </c>
      <c r="F37" s="1"/>
      <c r="G37" s="59"/>
      <c r="H37" s="1"/>
      <c r="I37" s="1"/>
    </row>
    <row r="38" spans="1:11" ht="15" customHeight="1" x14ac:dyDescent="0.25">
      <c r="A38" s="33">
        <v>3.8</v>
      </c>
      <c r="B38" s="13" t="s">
        <v>37</v>
      </c>
      <c r="C38" s="14">
        <f>35667.96-37430.16</f>
        <v>-1762.2000000000044</v>
      </c>
      <c r="D38" s="14">
        <f>14964.03-14328.64</f>
        <v>635.39000000000124</v>
      </c>
      <c r="E38" s="35">
        <f>62471.55-59087.64</f>
        <v>3383.9100000000035</v>
      </c>
      <c r="F38" s="48">
        <f t="shared" si="0"/>
        <v>-5146.1100000000079</v>
      </c>
      <c r="G38" s="59">
        <f>F38/E38*100</f>
        <v>-152.07585308119903</v>
      </c>
      <c r="H38" s="1"/>
      <c r="I38" s="1"/>
    </row>
    <row r="39" spans="1:11" ht="15" customHeight="1" x14ac:dyDescent="0.25">
      <c r="A39" s="36" t="s">
        <v>38</v>
      </c>
      <c r="B39" s="18" t="s">
        <v>39</v>
      </c>
      <c r="C39" s="16">
        <f>C37-C38</f>
        <v>380.00000000000546</v>
      </c>
      <c r="D39" s="16">
        <f>D37-D38</f>
        <v>-6022.5599999999995</v>
      </c>
      <c r="E39" s="35">
        <f>E37-E38</f>
        <v>11611.579999999991</v>
      </c>
      <c r="F39" s="1"/>
      <c r="G39" s="59"/>
      <c r="H39" s="1"/>
      <c r="I39" s="1"/>
    </row>
    <row r="40" spans="1:11" ht="15" customHeight="1" x14ac:dyDescent="0.25">
      <c r="A40" s="33">
        <v>3.9</v>
      </c>
      <c r="B40" s="13" t="s">
        <v>40</v>
      </c>
      <c r="C40" s="14">
        <v>9.64</v>
      </c>
      <c r="D40" s="14">
        <v>0</v>
      </c>
      <c r="E40" s="35">
        <v>0</v>
      </c>
      <c r="F40" s="1"/>
      <c r="G40" s="59"/>
      <c r="H40" s="1"/>
      <c r="I40" s="14">
        <v>86266.633500000011</v>
      </c>
      <c r="J40" s="14">
        <f>68870.32</f>
        <v>68870.320000000007</v>
      </c>
      <c r="K40" s="35">
        <f>157989.62</f>
        <v>157989.62</v>
      </c>
    </row>
    <row r="41" spans="1:11" ht="15" customHeight="1" x14ac:dyDescent="0.25">
      <c r="A41" s="37">
        <v>3.1</v>
      </c>
      <c r="B41" s="13" t="s">
        <v>41</v>
      </c>
      <c r="C41" s="16">
        <v>0</v>
      </c>
      <c r="D41" s="16">
        <v>0</v>
      </c>
      <c r="E41" s="35">
        <v>0</v>
      </c>
      <c r="F41" s="48">
        <f t="shared" ref="F41" si="1">C41-E41</f>
        <v>0</v>
      </c>
      <c r="G41" s="59" t="e">
        <f>F41/E41*100</f>
        <v>#DIV/0!</v>
      </c>
      <c r="H41" s="1"/>
      <c r="I41" s="16">
        <v>84105.500579999993</v>
      </c>
      <c r="J41" s="16">
        <v>67284.88</v>
      </c>
      <c r="K41" s="35">
        <v>140999.34</v>
      </c>
    </row>
    <row r="42" spans="1:11" ht="15" customHeight="1" x14ac:dyDescent="0.25">
      <c r="A42" s="36" t="s">
        <v>42</v>
      </c>
      <c r="B42" s="18" t="s">
        <v>43</v>
      </c>
      <c r="C42" s="16">
        <f>C39+C41+C40</f>
        <v>389.64000000000544</v>
      </c>
      <c r="D42" s="16">
        <f>D39+D41+D40</f>
        <v>-6022.5599999999995</v>
      </c>
      <c r="E42" s="35">
        <f>E39+E41+E40</f>
        <v>11611.579999999991</v>
      </c>
      <c r="F42" s="1"/>
      <c r="G42" s="59"/>
      <c r="H42" s="1"/>
      <c r="I42" s="48">
        <f>I40-I41</f>
        <v>2161.1329200000182</v>
      </c>
      <c r="J42" s="48">
        <f t="shared" ref="J42:K42" si="2">J40-J41</f>
        <v>1585.4400000000023</v>
      </c>
      <c r="K42" s="48">
        <f t="shared" si="2"/>
        <v>16990.28</v>
      </c>
    </row>
    <row r="43" spans="1:11" ht="15" customHeight="1" x14ac:dyDescent="0.25">
      <c r="A43" s="33">
        <v>3.11</v>
      </c>
      <c r="B43" s="13" t="s">
        <v>44</v>
      </c>
      <c r="C43" s="14" t="s">
        <v>8</v>
      </c>
      <c r="D43" s="16" t="s">
        <v>8</v>
      </c>
      <c r="E43" s="35" t="s">
        <v>8</v>
      </c>
      <c r="F43" s="1"/>
      <c r="G43" s="59"/>
      <c r="H43" s="1"/>
      <c r="I43" s="1"/>
    </row>
    <row r="44" spans="1:11" ht="15" customHeight="1" x14ac:dyDescent="0.25">
      <c r="A44" s="36" t="s">
        <v>45</v>
      </c>
      <c r="B44" s="18" t="s">
        <v>46</v>
      </c>
      <c r="C44" s="16">
        <f>C42</f>
        <v>389.64000000000544</v>
      </c>
      <c r="D44" s="16">
        <f>D42</f>
        <v>-6022.5599999999995</v>
      </c>
      <c r="E44" s="35">
        <f>E42</f>
        <v>11611.579999999991</v>
      </c>
      <c r="F44" s="48">
        <f t="shared" ref="F44" si="3">C44-E44</f>
        <v>-11221.939999999986</v>
      </c>
      <c r="G44" s="59">
        <f>F44/E44*100</f>
        <v>-96.644384312901394</v>
      </c>
      <c r="H44" s="1"/>
      <c r="I44" s="1">
        <v>389.66000000000406</v>
      </c>
      <c r="J44">
        <v>-6022.5599999999977</v>
      </c>
      <c r="K44">
        <v>11611.579999999987</v>
      </c>
    </row>
    <row r="45" spans="1:11" ht="15" customHeight="1" x14ac:dyDescent="0.25">
      <c r="A45" s="33">
        <v>3.12</v>
      </c>
      <c r="B45" s="13" t="s">
        <v>47</v>
      </c>
      <c r="C45" s="14">
        <v>35.42</v>
      </c>
      <c r="D45" s="14">
        <v>0</v>
      </c>
      <c r="E45" s="35">
        <f>E44/110*10</f>
        <v>1055.598181818181</v>
      </c>
      <c r="F45" s="48">
        <f t="shared" ref="F45" si="4">C45-E45</f>
        <v>-1020.1781818181811</v>
      </c>
      <c r="G45" s="59">
        <f>F45/E45*100</f>
        <v>-96.644556554749656</v>
      </c>
      <c r="H45" s="1"/>
      <c r="I45" s="1"/>
    </row>
    <row r="46" spans="1:11" ht="15" customHeight="1" x14ac:dyDescent="0.25">
      <c r="A46" s="33">
        <v>3.13</v>
      </c>
      <c r="B46" s="13" t="s">
        <v>48</v>
      </c>
      <c r="C46" s="14">
        <v>106.27</v>
      </c>
      <c r="D46" s="16">
        <v>0</v>
      </c>
      <c r="E46" s="35">
        <f>(E44-E45)*30%</f>
        <v>3166.7945454545429</v>
      </c>
      <c r="F46" s="1"/>
      <c r="G46" s="59"/>
      <c r="H46" s="1"/>
      <c r="I46" s="1"/>
    </row>
    <row r="47" spans="1:11" ht="15" customHeight="1" x14ac:dyDescent="0.25">
      <c r="A47" s="28" t="s">
        <v>49</v>
      </c>
      <c r="B47" s="11" t="s">
        <v>50</v>
      </c>
      <c r="C47" s="12">
        <f>C44-C45-C46</f>
        <v>247.95000000000545</v>
      </c>
      <c r="D47" s="12">
        <f>D44-D45-D46</f>
        <v>-6022.5599999999995</v>
      </c>
      <c r="E47" s="29">
        <f>E44-E45-E46</f>
        <v>7389.1872727272676</v>
      </c>
      <c r="F47" s="48">
        <f t="shared" ref="F47" si="5">C47-E47</f>
        <v>-7141.2372727272623</v>
      </c>
      <c r="G47" s="59">
        <f>F47/E47*100</f>
        <v>-96.644421221868839</v>
      </c>
      <c r="H47" s="60">
        <f>'[2]9.5'!$D$55</f>
        <v>10513.951897272724</v>
      </c>
      <c r="I47" s="1"/>
    </row>
    <row r="48" spans="1:11" ht="15" customHeight="1" x14ac:dyDescent="0.25">
      <c r="A48" s="36">
        <v>4</v>
      </c>
      <c r="B48" s="19" t="s">
        <v>51</v>
      </c>
      <c r="C48" s="20" t="s">
        <v>8</v>
      </c>
      <c r="D48" s="21" t="s">
        <v>8</v>
      </c>
      <c r="E48" s="38" t="s">
        <v>8</v>
      </c>
      <c r="F48" s="1"/>
      <c r="G48" s="59"/>
      <c r="H48" s="1"/>
      <c r="I48" s="1"/>
    </row>
    <row r="49" spans="1:9" ht="15" customHeight="1" x14ac:dyDescent="0.25">
      <c r="A49" s="33">
        <v>4.0999999999999996</v>
      </c>
      <c r="B49" s="13" t="s">
        <v>52</v>
      </c>
      <c r="C49" s="47">
        <v>8.7999999999999995E-2</v>
      </c>
      <c r="D49" s="23">
        <v>8.7900000000000006E-2</v>
      </c>
      <c r="E49" s="39">
        <v>9.1200000000000003E-2</v>
      </c>
      <c r="F49" s="1"/>
      <c r="G49" s="59"/>
      <c r="H49" s="1"/>
      <c r="I49" s="1"/>
    </row>
    <row r="50" spans="1:9" ht="15" customHeight="1" x14ac:dyDescent="0.25">
      <c r="A50" s="33">
        <v>4.2</v>
      </c>
      <c r="B50" s="13" t="s">
        <v>53</v>
      </c>
      <c r="C50" s="47">
        <v>4.2700000000000002E-2</v>
      </c>
      <c r="D50" s="23">
        <v>3.95E-2</v>
      </c>
      <c r="E50" s="39">
        <v>3.04E-2</v>
      </c>
      <c r="F50" s="1"/>
      <c r="G50" s="59"/>
      <c r="H50" s="1"/>
      <c r="I50" s="1"/>
    </row>
    <row r="51" spans="1:9" ht="15" customHeight="1" x14ac:dyDescent="0.25">
      <c r="A51" s="33">
        <v>4.3</v>
      </c>
      <c r="B51" s="13" t="s">
        <v>54</v>
      </c>
      <c r="C51" s="22">
        <v>0.3604</v>
      </c>
      <c r="D51" s="23">
        <v>0.3629</v>
      </c>
      <c r="E51" s="39">
        <v>0.30320000000000003</v>
      </c>
      <c r="F51" s="1"/>
      <c r="G51" s="59"/>
      <c r="H51" s="1"/>
      <c r="I51" s="1"/>
    </row>
    <row r="52" spans="1:9" ht="15" customHeight="1" x14ac:dyDescent="0.25">
      <c r="A52" s="33">
        <v>4.4000000000000004</v>
      </c>
      <c r="B52" s="13" t="s">
        <v>55</v>
      </c>
      <c r="C52" s="23">
        <v>0.10639999999999999</v>
      </c>
      <c r="D52" s="23">
        <v>0.1062</v>
      </c>
      <c r="E52" s="39">
        <v>8.3000000000000004E-2</v>
      </c>
      <c r="F52" s="1">
        <v>10.62</v>
      </c>
      <c r="G52" s="59"/>
      <c r="H52" s="1"/>
      <c r="I52" s="1"/>
    </row>
    <row r="53" spans="1:9" ht="15" customHeight="1" x14ac:dyDescent="0.25">
      <c r="A53" s="33">
        <v>4.5</v>
      </c>
      <c r="B53" s="13" t="s">
        <v>56</v>
      </c>
      <c r="C53" s="22">
        <v>3.7547000000000001</v>
      </c>
      <c r="D53" s="23">
        <v>4.0046999999999997</v>
      </c>
      <c r="E53" s="39">
        <v>4.7873999999999999</v>
      </c>
      <c r="F53" s="1"/>
      <c r="G53" s="59"/>
      <c r="H53" s="1"/>
      <c r="I53" s="1"/>
    </row>
    <row r="54" spans="1:9" ht="18.75" customHeight="1" x14ac:dyDescent="0.25">
      <c r="A54" s="43" t="s">
        <v>57</v>
      </c>
      <c r="B54" s="79" t="s">
        <v>61</v>
      </c>
      <c r="C54" s="79"/>
      <c r="D54" s="79"/>
      <c r="E54" s="80"/>
      <c r="F54" s="1"/>
      <c r="G54" s="59"/>
      <c r="H54" s="1"/>
      <c r="I54" s="1"/>
    </row>
    <row r="55" spans="1:9" ht="15" customHeight="1" x14ac:dyDescent="0.25">
      <c r="A55" s="44"/>
      <c r="B55" s="73" t="s">
        <v>60</v>
      </c>
      <c r="C55" s="73"/>
      <c r="D55" s="73"/>
      <c r="E55" s="74"/>
      <c r="F55" s="1"/>
      <c r="G55" s="59"/>
      <c r="H55" s="1"/>
      <c r="I55" s="1"/>
    </row>
    <row r="56" spans="1:9" ht="19.5" customHeight="1" x14ac:dyDescent="0.4">
      <c r="A56" s="40"/>
      <c r="B56" s="65" t="s">
        <v>62</v>
      </c>
      <c r="C56" s="65"/>
      <c r="D56" s="65"/>
      <c r="E56" s="66"/>
      <c r="F56" s="1"/>
      <c r="G56" s="59"/>
      <c r="H56" s="1"/>
      <c r="I56" s="1"/>
    </row>
    <row r="57" spans="1:9" ht="15" customHeight="1" thickBot="1" x14ac:dyDescent="0.3">
      <c r="A57" s="41"/>
      <c r="B57" s="42" t="s">
        <v>111</v>
      </c>
      <c r="C57" s="67" t="s">
        <v>84</v>
      </c>
      <c r="D57" s="68"/>
      <c r="E57" s="69"/>
      <c r="F57" s="1"/>
      <c r="G57" s="59"/>
      <c r="H57" s="1"/>
      <c r="I57" s="1"/>
    </row>
    <row r="58" spans="1:9" ht="12.95" customHeight="1" x14ac:dyDescent="0.25">
      <c r="A58" s="1"/>
      <c r="B58" s="1"/>
      <c r="C58" s="1"/>
      <c r="D58" s="1"/>
      <c r="E58" s="1"/>
      <c r="F58" s="1"/>
      <c r="G58" s="59"/>
      <c r="H58" s="1"/>
      <c r="I58" s="1"/>
    </row>
    <row r="59" spans="1:9" ht="12.95" customHeight="1" x14ac:dyDescent="0.25">
      <c r="A59" s="1"/>
      <c r="B59" s="1"/>
      <c r="C59" s="1"/>
      <c r="D59" s="1"/>
      <c r="E59" s="1"/>
      <c r="F59" s="1"/>
      <c r="G59" s="59"/>
      <c r="H59" s="1"/>
      <c r="I59" s="1"/>
    </row>
    <row r="60" spans="1:9" ht="12.95" customHeight="1" x14ac:dyDescent="0.25">
      <c r="A60" s="1"/>
      <c r="B60" s="1"/>
      <c r="C60" s="1"/>
      <c r="D60" s="1"/>
      <c r="E60" s="1"/>
      <c r="F60" s="1"/>
      <c r="G60" s="59"/>
      <c r="H60" s="1"/>
      <c r="I60" s="1"/>
    </row>
    <row r="61" spans="1:9" ht="12.95" customHeight="1" x14ac:dyDescent="0.25">
      <c r="A61" s="1"/>
      <c r="B61" s="1"/>
      <c r="C61" s="1"/>
      <c r="D61" s="1"/>
      <c r="E61" s="1"/>
      <c r="F61" s="1"/>
      <c r="G61" s="59"/>
      <c r="H61" s="1"/>
      <c r="I61" s="1"/>
    </row>
    <row r="62" spans="1:9" ht="12.95" customHeight="1" x14ac:dyDescent="0.25">
      <c r="A62" s="1"/>
      <c r="B62" s="1"/>
      <c r="C62" s="1"/>
      <c r="D62" s="1"/>
      <c r="E62" s="1"/>
      <c r="F62" s="1"/>
      <c r="G62" s="59"/>
      <c r="H62" s="1"/>
      <c r="I62" s="1"/>
    </row>
    <row r="63" spans="1:9" ht="12.95" customHeight="1" x14ac:dyDescent="0.25">
      <c r="A63" s="1"/>
      <c r="B63" s="1"/>
      <c r="C63" s="1"/>
      <c r="D63" s="1"/>
      <c r="E63" s="1"/>
      <c r="F63" s="1"/>
      <c r="G63" s="59"/>
      <c r="H63" s="1"/>
      <c r="I63" s="1"/>
    </row>
    <row r="64" spans="1:9" ht="12.95" customHeight="1" x14ac:dyDescent="0.25">
      <c r="A64" s="1"/>
      <c r="B64" s="1"/>
      <c r="C64" s="1"/>
      <c r="D64" s="1"/>
      <c r="E64" s="1"/>
      <c r="F64" s="1"/>
      <c r="G64" s="59"/>
      <c r="H64" s="1"/>
      <c r="I64" s="1"/>
    </row>
    <row r="65" spans="1:9" ht="12.95" customHeight="1" x14ac:dyDescent="0.25">
      <c r="A65" s="1"/>
      <c r="B65" s="1"/>
      <c r="C65" s="1"/>
      <c r="D65" s="1"/>
      <c r="E65" s="1"/>
      <c r="F65" s="1"/>
      <c r="G65" s="59"/>
      <c r="H65" s="1"/>
      <c r="I65" s="1"/>
    </row>
    <row r="66" spans="1:9" ht="12.95" customHeight="1" x14ac:dyDescent="0.25">
      <c r="A66" s="1"/>
      <c r="B66" s="1"/>
      <c r="C66" s="1"/>
      <c r="D66" s="1"/>
      <c r="E66" s="1"/>
      <c r="F66" s="1"/>
      <c r="G66" s="59"/>
      <c r="H66" s="1"/>
      <c r="I66" s="1"/>
    </row>
    <row r="67" spans="1:9" ht="12.95" customHeight="1" x14ac:dyDescent="0.25">
      <c r="A67" s="1"/>
      <c r="B67" s="1"/>
      <c r="C67" s="1"/>
      <c r="D67" s="1"/>
      <c r="E67" s="1"/>
      <c r="F67" s="1"/>
      <c r="G67" s="59"/>
      <c r="H67" s="1"/>
      <c r="I67" s="1"/>
    </row>
    <row r="68" spans="1:9" ht="12.95" customHeight="1" x14ac:dyDescent="0.25">
      <c r="A68" s="1"/>
      <c r="B68" s="1"/>
      <c r="C68" s="1"/>
      <c r="D68" s="1"/>
      <c r="E68" s="1"/>
      <c r="F68" s="1"/>
      <c r="G68" s="59"/>
      <c r="H68" s="1"/>
      <c r="I68" s="1"/>
    </row>
    <row r="69" spans="1:9" ht="12.95" customHeight="1" x14ac:dyDescent="0.25">
      <c r="A69" s="1"/>
      <c r="B69" s="1"/>
      <c r="C69" s="1"/>
      <c r="D69" s="1"/>
      <c r="E69" s="1"/>
      <c r="F69" s="1"/>
      <c r="G69" s="59"/>
      <c r="H69" s="1"/>
      <c r="I69" s="1"/>
    </row>
    <row r="70" spans="1:9" ht="12.95" customHeight="1" x14ac:dyDescent="0.25">
      <c r="A70" s="1"/>
      <c r="B70" s="1"/>
      <c r="C70" s="1"/>
      <c r="D70" s="1"/>
      <c r="E70" s="1"/>
      <c r="F70" s="1"/>
      <c r="G70" s="59"/>
      <c r="H70" s="1"/>
      <c r="I70" s="1"/>
    </row>
    <row r="71" spans="1:9" ht="12.95" customHeight="1" x14ac:dyDescent="0.25">
      <c r="A71" s="1"/>
      <c r="B71" s="1"/>
      <c r="C71" s="1"/>
      <c r="D71" s="1"/>
      <c r="E71" s="1"/>
      <c r="F71" s="1"/>
      <c r="G71" s="59"/>
      <c r="H71" s="1"/>
      <c r="I71" s="1"/>
    </row>
    <row r="72" spans="1:9" ht="12.95" customHeight="1" x14ac:dyDescent="0.25">
      <c r="A72" s="1"/>
      <c r="B72" s="1"/>
      <c r="C72" s="1"/>
      <c r="D72" s="1"/>
      <c r="E72" s="1"/>
      <c r="F72" s="1"/>
      <c r="G72" s="59"/>
      <c r="H72" s="1"/>
      <c r="I72" s="1"/>
    </row>
    <row r="73" spans="1:9" ht="12.95" customHeight="1" x14ac:dyDescent="0.25">
      <c r="A73" s="1"/>
      <c r="B73" s="1"/>
      <c r="C73" s="1"/>
      <c r="D73" s="1"/>
      <c r="E73" s="1"/>
      <c r="F73" s="1"/>
      <c r="G73" s="59"/>
      <c r="H73" s="1"/>
      <c r="I73" s="1"/>
    </row>
    <row r="74" spans="1:9" ht="12.95" customHeight="1" x14ac:dyDescent="0.25">
      <c r="A74" s="1"/>
      <c r="B74" s="1"/>
      <c r="C74" s="1"/>
      <c r="D74" s="1"/>
      <c r="E74" s="1"/>
      <c r="F74" s="1"/>
      <c r="G74" s="59"/>
      <c r="H74" s="1"/>
      <c r="I74" s="1"/>
    </row>
    <row r="75" spans="1:9" ht="12.95" customHeight="1" x14ac:dyDescent="0.25">
      <c r="A75" s="1"/>
      <c r="B75" s="1"/>
      <c r="C75" s="1"/>
      <c r="D75" s="1"/>
      <c r="E75" s="1"/>
      <c r="F75" s="1"/>
      <c r="G75" s="59"/>
      <c r="H75" s="1"/>
      <c r="I75" s="1"/>
    </row>
    <row r="76" spans="1:9" ht="12.95" customHeight="1" x14ac:dyDescent="0.25">
      <c r="A76" s="1"/>
      <c r="B76" s="1"/>
      <c r="C76" s="1"/>
      <c r="D76" s="1"/>
      <c r="E76" s="1"/>
      <c r="F76" s="1"/>
      <c r="G76" s="59"/>
      <c r="H76" s="1"/>
      <c r="I76" s="1"/>
    </row>
    <row r="77" spans="1:9" ht="12.95" customHeight="1" x14ac:dyDescent="0.25">
      <c r="A77" s="1"/>
      <c r="B77" s="1"/>
      <c r="C77" s="1"/>
      <c r="D77" s="1"/>
      <c r="E77" s="1"/>
      <c r="F77" s="1"/>
      <c r="G77" s="59"/>
      <c r="H77" s="1"/>
      <c r="I77" s="1"/>
    </row>
    <row r="78" spans="1:9" ht="12.95" customHeight="1" x14ac:dyDescent="0.25">
      <c r="A78" s="1"/>
      <c r="B78" s="1"/>
      <c r="C78" s="1"/>
      <c r="D78" s="1"/>
      <c r="E78" s="1"/>
      <c r="F78" s="1"/>
      <c r="G78" s="59"/>
      <c r="H78" s="1"/>
      <c r="I78" s="1"/>
    </row>
    <row r="79" spans="1:9" ht="12.95" customHeight="1" x14ac:dyDescent="0.25">
      <c r="A79" s="1"/>
      <c r="B79" s="1"/>
      <c r="C79" s="1"/>
      <c r="D79" s="1"/>
      <c r="E79" s="1"/>
      <c r="F79" s="1"/>
      <c r="G79" s="59"/>
      <c r="H79" s="1"/>
      <c r="I79" s="1"/>
    </row>
    <row r="80" spans="1:9" ht="12.95" customHeight="1" x14ac:dyDescent="0.25">
      <c r="A80" s="1"/>
      <c r="B80" s="1"/>
      <c r="C80" s="1"/>
      <c r="D80" s="1"/>
      <c r="E80" s="1"/>
      <c r="F80" s="1"/>
      <c r="G80" s="59"/>
      <c r="H80" s="1"/>
      <c r="I80" s="1"/>
    </row>
    <row r="81" spans="1:9" ht="12.95" customHeight="1" x14ac:dyDescent="0.25">
      <c r="A81" s="1"/>
      <c r="B81" s="1"/>
      <c r="C81" s="1"/>
      <c r="D81" s="1"/>
      <c r="E81" s="1"/>
      <c r="F81" s="1"/>
      <c r="G81" s="59"/>
      <c r="H81" s="1"/>
      <c r="I81" s="1"/>
    </row>
    <row r="82" spans="1:9" ht="12.95" customHeight="1" x14ac:dyDescent="0.25">
      <c r="A82" s="1"/>
      <c r="B82" s="1"/>
      <c r="C82" s="1"/>
      <c r="D82" s="1"/>
      <c r="E82" s="1"/>
      <c r="F82" s="1"/>
      <c r="G82" s="59"/>
      <c r="H82" s="1"/>
      <c r="I82" s="1"/>
    </row>
    <row r="83" spans="1:9" ht="12.95" customHeight="1" x14ac:dyDescent="0.25">
      <c r="A83" s="1"/>
      <c r="B83" s="1"/>
      <c r="C83" s="1"/>
      <c r="D83" s="1"/>
      <c r="E83" s="1"/>
      <c r="F83" s="1"/>
      <c r="G83" s="59"/>
      <c r="H83" s="1"/>
      <c r="I83" s="1"/>
    </row>
    <row r="84" spans="1:9" ht="12.95" customHeight="1" x14ac:dyDescent="0.25">
      <c r="A84" s="1"/>
      <c r="B84" s="1"/>
      <c r="C84" s="1"/>
      <c r="D84" s="1"/>
      <c r="E84" s="1"/>
      <c r="F84" s="1"/>
      <c r="G84" s="59"/>
      <c r="H84" s="1"/>
      <c r="I84" s="1"/>
    </row>
    <row r="85" spans="1:9" ht="12.95" customHeight="1" x14ac:dyDescent="0.25">
      <c r="A85" s="1"/>
      <c r="B85" s="1"/>
      <c r="C85" s="1"/>
      <c r="D85" s="1"/>
      <c r="E85" s="1"/>
      <c r="F85" s="1"/>
      <c r="G85" s="59"/>
      <c r="H85" s="1"/>
      <c r="I85" s="1"/>
    </row>
    <row r="86" spans="1:9" ht="12.95" customHeight="1" x14ac:dyDescent="0.25">
      <c r="A86" s="1"/>
      <c r="B86" s="1"/>
      <c r="C86" s="1"/>
      <c r="D86" s="1"/>
      <c r="E86" s="1"/>
      <c r="F86" s="1"/>
      <c r="G86" s="59"/>
      <c r="H86" s="1"/>
      <c r="I86" s="1"/>
    </row>
    <row r="87" spans="1:9" ht="12.95" customHeight="1" x14ac:dyDescent="0.25">
      <c r="A87" s="1"/>
      <c r="B87" s="1"/>
      <c r="C87" s="1"/>
      <c r="D87" s="1"/>
      <c r="E87" s="1"/>
      <c r="F87" s="1"/>
      <c r="G87" s="59"/>
      <c r="H87" s="1"/>
      <c r="I87" s="1"/>
    </row>
    <row r="88" spans="1:9" ht="12.95" customHeight="1" x14ac:dyDescent="0.25">
      <c r="A88" s="1"/>
      <c r="B88" s="1"/>
      <c r="C88" s="1"/>
      <c r="D88" s="1"/>
      <c r="E88" s="1"/>
      <c r="F88" s="1"/>
      <c r="G88" s="59"/>
      <c r="H88" s="1"/>
      <c r="I88" s="1"/>
    </row>
    <row r="89" spans="1:9" ht="12.95" customHeight="1" x14ac:dyDescent="0.25">
      <c r="A89" s="1"/>
      <c r="B89" s="1"/>
      <c r="C89" s="1"/>
      <c r="D89" s="1"/>
      <c r="E89" s="1"/>
      <c r="F89" s="1"/>
      <c r="G89" s="59"/>
      <c r="H89" s="1"/>
      <c r="I89" s="1"/>
    </row>
    <row r="90" spans="1:9" ht="12.95" customHeight="1" x14ac:dyDescent="0.25">
      <c r="A90" s="1"/>
      <c r="B90" s="1"/>
      <c r="C90" s="1"/>
      <c r="D90" s="1"/>
      <c r="E90" s="1"/>
      <c r="F90" s="1"/>
      <c r="G90" s="59"/>
      <c r="H90" s="1"/>
      <c r="I90" s="1"/>
    </row>
    <row r="91" spans="1:9" ht="12.95" customHeight="1" x14ac:dyDescent="0.25">
      <c r="A91" s="1"/>
      <c r="B91" s="1"/>
      <c r="C91" s="1"/>
      <c r="D91" s="1"/>
      <c r="E91" s="1"/>
      <c r="F91" s="1"/>
      <c r="G91" s="59"/>
      <c r="H91" s="1"/>
      <c r="I91" s="1"/>
    </row>
    <row r="92" spans="1:9" ht="12.95" customHeight="1" x14ac:dyDescent="0.25">
      <c r="A92" s="1"/>
      <c r="B92" s="1"/>
      <c r="C92" s="1"/>
      <c r="D92" s="1"/>
      <c r="E92" s="1"/>
      <c r="F92" s="1"/>
      <c r="G92" s="59"/>
      <c r="H92" s="1"/>
      <c r="I92" s="1"/>
    </row>
    <row r="93" spans="1:9" ht="12.95" customHeight="1" x14ac:dyDescent="0.25">
      <c r="A93" s="1"/>
      <c r="B93" s="1"/>
      <c r="C93" s="1"/>
      <c r="D93" s="1"/>
      <c r="E93" s="1"/>
      <c r="F93" s="1"/>
      <c r="G93" s="59"/>
      <c r="H93" s="1"/>
      <c r="I93" s="1"/>
    </row>
    <row r="94" spans="1:9" ht="12.95" customHeight="1" x14ac:dyDescent="0.25">
      <c r="A94" s="1"/>
      <c r="B94" s="1"/>
      <c r="C94" s="1"/>
      <c r="D94" s="1"/>
      <c r="E94" s="1"/>
      <c r="F94" s="1"/>
      <c r="G94" s="59"/>
      <c r="H94" s="1"/>
      <c r="I94" s="1"/>
    </row>
    <row r="95" spans="1:9" ht="12.95" customHeight="1" x14ac:dyDescent="0.25">
      <c r="A95" s="1"/>
      <c r="B95" s="1"/>
      <c r="C95" s="1"/>
      <c r="D95" s="1"/>
      <c r="E95" s="1"/>
      <c r="F95" s="1"/>
      <c r="G95" s="59"/>
      <c r="H95" s="1"/>
      <c r="I95" s="1"/>
    </row>
    <row r="96" spans="1:9" ht="12.95" customHeight="1" x14ac:dyDescent="0.25">
      <c r="A96" s="1"/>
      <c r="B96" s="1"/>
      <c r="C96" s="1"/>
      <c r="D96" s="1"/>
      <c r="E96" s="1"/>
      <c r="F96" s="1"/>
      <c r="G96" s="59"/>
      <c r="H96" s="1"/>
      <c r="I96" s="1"/>
    </row>
    <row r="97" spans="1:9" ht="12.95" customHeight="1" x14ac:dyDescent="0.25">
      <c r="A97" s="1"/>
      <c r="B97" s="1"/>
      <c r="C97" s="1"/>
      <c r="D97" s="1"/>
      <c r="E97" s="1"/>
      <c r="F97" s="1"/>
      <c r="G97" s="59"/>
      <c r="H97" s="1"/>
      <c r="I97" s="1"/>
    </row>
    <row r="98" spans="1:9" ht="12.95" customHeight="1" x14ac:dyDescent="0.25">
      <c r="A98" s="1"/>
      <c r="B98" s="1"/>
      <c r="C98" s="1"/>
      <c r="D98" s="1"/>
      <c r="E98" s="1"/>
      <c r="F98" s="1"/>
      <c r="G98" s="59"/>
      <c r="H98" s="1"/>
      <c r="I98" s="1"/>
    </row>
    <row r="99" spans="1:9" ht="12.95" customHeight="1" x14ac:dyDescent="0.25">
      <c r="A99" s="1"/>
      <c r="B99" s="1"/>
      <c r="C99" s="1"/>
      <c r="D99" s="1"/>
      <c r="E99" s="1"/>
      <c r="F99" s="1"/>
      <c r="G99" s="59"/>
      <c r="H99" s="1"/>
      <c r="I99" s="1"/>
    </row>
    <row r="100" spans="1:9" ht="12.95" customHeight="1" x14ac:dyDescent="0.25">
      <c r="A100" s="1"/>
      <c r="B100" s="1"/>
      <c r="C100" s="1"/>
      <c r="D100" s="1"/>
      <c r="E100" s="1"/>
      <c r="F100" s="1"/>
      <c r="G100" s="59"/>
      <c r="H100" s="1"/>
      <c r="I100" s="1"/>
    </row>
    <row r="101" spans="1:9" ht="12.95" customHeight="1" x14ac:dyDescent="0.25">
      <c r="A101" s="1"/>
      <c r="B101" s="1"/>
      <c r="C101" s="1"/>
      <c r="D101" s="1"/>
      <c r="E101" s="1"/>
      <c r="F101" s="1"/>
      <c r="G101" s="59"/>
      <c r="H101" s="1"/>
      <c r="I101" s="1"/>
    </row>
    <row r="102" spans="1:9" ht="12.95" customHeight="1" x14ac:dyDescent="0.25">
      <c r="A102" s="1"/>
      <c r="B102" s="1"/>
      <c r="C102" s="1"/>
      <c r="D102" s="1"/>
      <c r="E102" s="1"/>
      <c r="F102" s="1"/>
      <c r="G102" s="59"/>
      <c r="H102" s="1"/>
      <c r="I102" s="1"/>
    </row>
    <row r="103" spans="1:9" ht="12.95" customHeight="1" x14ac:dyDescent="0.25">
      <c r="A103" s="1"/>
      <c r="B103" s="1"/>
      <c r="C103" s="1"/>
      <c r="D103" s="1"/>
      <c r="E103" s="1"/>
      <c r="F103" s="1"/>
      <c r="G103" s="59"/>
      <c r="H103" s="1"/>
      <c r="I103" s="1"/>
    </row>
    <row r="104" spans="1:9" ht="12.95" customHeight="1" x14ac:dyDescent="0.25">
      <c r="A104" s="1"/>
      <c r="B104" s="1"/>
      <c r="C104" s="1"/>
      <c r="D104" s="1"/>
      <c r="E104" s="1"/>
      <c r="F104" s="1"/>
      <c r="G104" s="59"/>
      <c r="H104" s="1"/>
      <c r="I104" s="1"/>
    </row>
    <row r="105" spans="1:9" ht="12.95" customHeight="1" x14ac:dyDescent="0.25">
      <c r="A105" s="1"/>
      <c r="B105" s="1"/>
      <c r="C105" s="1"/>
      <c r="D105" s="1"/>
      <c r="E105" s="1"/>
      <c r="F105" s="1"/>
      <c r="G105" s="59"/>
      <c r="H105" s="1"/>
      <c r="I105" s="1"/>
    </row>
    <row r="106" spans="1:9" ht="12.95" customHeight="1" x14ac:dyDescent="0.25">
      <c r="A106" s="1"/>
      <c r="B106" s="1"/>
      <c r="C106" s="1"/>
      <c r="D106" s="1"/>
      <c r="E106" s="1"/>
      <c r="F106" s="1"/>
      <c r="G106" s="59"/>
      <c r="H106" s="1"/>
      <c r="I106" s="1"/>
    </row>
    <row r="107" spans="1:9" ht="12.95" customHeight="1" x14ac:dyDescent="0.25">
      <c r="A107" s="1"/>
      <c r="B107" s="1"/>
      <c r="C107" s="1"/>
      <c r="D107" s="1"/>
      <c r="E107" s="1"/>
      <c r="F107" s="1"/>
      <c r="G107" s="59"/>
      <c r="H107" s="1"/>
      <c r="I107" s="1"/>
    </row>
    <row r="108" spans="1:9" ht="12.95" customHeight="1" x14ac:dyDescent="0.25">
      <c r="A108" s="1"/>
      <c r="B108" s="1"/>
      <c r="C108" s="1"/>
      <c r="D108" s="1"/>
      <c r="E108" s="1"/>
      <c r="F108" s="1"/>
      <c r="G108" s="59"/>
      <c r="H108" s="1"/>
      <c r="I108" s="1"/>
    </row>
    <row r="109" spans="1:9" ht="12.95" customHeight="1" x14ac:dyDescent="0.25">
      <c r="A109" s="1"/>
      <c r="B109" s="1"/>
      <c r="C109" s="1"/>
      <c r="D109" s="1"/>
      <c r="E109" s="1"/>
      <c r="F109" s="1"/>
      <c r="G109" s="59"/>
      <c r="H109" s="1"/>
      <c r="I109" s="1"/>
    </row>
    <row r="110" spans="1:9" ht="12.95" customHeight="1" x14ac:dyDescent="0.25">
      <c r="A110" s="1"/>
      <c r="B110" s="1"/>
      <c r="C110" s="1"/>
      <c r="D110" s="1"/>
      <c r="E110" s="1"/>
      <c r="F110" s="1"/>
      <c r="G110" s="59"/>
      <c r="H110" s="1"/>
      <c r="I110" s="1"/>
    </row>
    <row r="111" spans="1:9" ht="12.95" customHeight="1" x14ac:dyDescent="0.25">
      <c r="A111" s="1"/>
      <c r="B111" s="1"/>
      <c r="C111" s="1"/>
      <c r="D111" s="1"/>
      <c r="E111" s="1"/>
      <c r="F111" s="1"/>
      <c r="G111" s="59"/>
      <c r="H111" s="1"/>
      <c r="I111" s="1"/>
    </row>
    <row r="112" spans="1:9" ht="12.95" customHeight="1" x14ac:dyDescent="0.25">
      <c r="A112" s="1"/>
      <c r="B112" s="1"/>
      <c r="C112" s="1"/>
      <c r="D112" s="1"/>
      <c r="E112" s="1"/>
      <c r="F112" s="1"/>
      <c r="G112" s="59"/>
      <c r="H112" s="1"/>
      <c r="I112" s="1"/>
    </row>
    <row r="113" spans="1:9" ht="12.95" customHeight="1" x14ac:dyDescent="0.25">
      <c r="A113" s="1"/>
      <c r="B113" s="1"/>
      <c r="C113" s="1"/>
      <c r="D113" s="1"/>
      <c r="E113" s="1"/>
      <c r="F113" s="1"/>
      <c r="G113" s="59"/>
      <c r="H113" s="1"/>
      <c r="I113" s="1"/>
    </row>
    <row r="114" spans="1:9" ht="12.95" customHeight="1" x14ac:dyDescent="0.25">
      <c r="A114" s="1"/>
      <c r="B114" s="1"/>
      <c r="C114" s="1"/>
      <c r="D114" s="1"/>
      <c r="E114" s="1"/>
      <c r="F114" s="1"/>
      <c r="G114" s="59"/>
      <c r="H114" s="1"/>
      <c r="I114" s="1"/>
    </row>
    <row r="115" spans="1:9" ht="12.95" customHeight="1" x14ac:dyDescent="0.25">
      <c r="A115" s="1"/>
      <c r="B115" s="1"/>
      <c r="C115" s="1"/>
      <c r="D115" s="1"/>
      <c r="E115" s="1"/>
      <c r="F115" s="1"/>
      <c r="G115" s="59"/>
      <c r="H115" s="1"/>
      <c r="I115" s="1"/>
    </row>
    <row r="116" spans="1:9" ht="12.95" customHeight="1" x14ac:dyDescent="0.25">
      <c r="A116" s="1"/>
      <c r="B116" s="1"/>
      <c r="C116" s="1"/>
      <c r="D116" s="1"/>
      <c r="E116" s="1"/>
      <c r="F116" s="1"/>
      <c r="G116" s="59"/>
      <c r="H116" s="1"/>
      <c r="I116" s="1"/>
    </row>
    <row r="117" spans="1:9" ht="12.95" customHeight="1" x14ac:dyDescent="0.25">
      <c r="A117" s="1"/>
      <c r="B117" s="1"/>
      <c r="C117" s="1"/>
      <c r="D117" s="1"/>
      <c r="E117" s="1"/>
      <c r="F117" s="1"/>
      <c r="G117" s="59"/>
      <c r="H117" s="1"/>
      <c r="I117" s="1"/>
    </row>
    <row r="118" spans="1:9" ht="12.95" customHeight="1" x14ac:dyDescent="0.25">
      <c r="A118" s="1"/>
      <c r="B118" s="1"/>
      <c r="C118" s="1"/>
      <c r="D118" s="1"/>
      <c r="E118" s="1"/>
      <c r="F118" s="1"/>
      <c r="G118" s="59"/>
      <c r="H118" s="1"/>
      <c r="I118" s="1"/>
    </row>
    <row r="119" spans="1:9" ht="12.95" customHeight="1" x14ac:dyDescent="0.25">
      <c r="A119" s="1"/>
      <c r="B119" s="1"/>
      <c r="C119" s="1"/>
      <c r="D119" s="1"/>
      <c r="E119" s="1"/>
      <c r="F119" s="1"/>
      <c r="G119" s="59"/>
      <c r="H119" s="1"/>
      <c r="I119" s="1"/>
    </row>
    <row r="120" spans="1:9" ht="12.95" customHeight="1" x14ac:dyDescent="0.25">
      <c r="F120" s="1"/>
      <c r="G120" s="59"/>
      <c r="H120" s="1"/>
      <c r="I120" s="1"/>
    </row>
    <row r="121" spans="1:9" ht="12.95" customHeight="1" x14ac:dyDescent="0.25">
      <c r="F121" s="1"/>
      <c r="G121" s="59"/>
      <c r="H121" s="1"/>
      <c r="I121" s="1"/>
    </row>
    <row r="122" spans="1:9" ht="12.95" customHeight="1" x14ac:dyDescent="0.25">
      <c r="F122" s="1"/>
      <c r="G122" s="59"/>
      <c r="H122" s="1"/>
      <c r="I122" s="1"/>
    </row>
    <row r="123" spans="1:9" ht="12.95" customHeight="1" x14ac:dyDescent="0.25">
      <c r="F123" s="1"/>
      <c r="G123" s="59"/>
      <c r="H123" s="1"/>
      <c r="I123" s="1"/>
    </row>
    <row r="124" spans="1:9" ht="12.95" customHeight="1" x14ac:dyDescent="0.25">
      <c r="F124" s="1"/>
      <c r="G124" s="59"/>
      <c r="H124" s="1"/>
      <c r="I124" s="1"/>
    </row>
    <row r="125" spans="1:9" ht="12.95" customHeight="1" x14ac:dyDescent="0.25">
      <c r="F125" s="1"/>
      <c r="G125" s="59"/>
      <c r="H125" s="1"/>
      <c r="I125" s="1"/>
    </row>
    <row r="126" spans="1:9" ht="12.95" customHeight="1" x14ac:dyDescent="0.25">
      <c r="F126" s="1"/>
      <c r="G126" s="59"/>
      <c r="H126" s="1"/>
      <c r="I126" s="1"/>
    </row>
    <row r="127" spans="1:9" ht="12.95" customHeight="1" x14ac:dyDescent="0.25">
      <c r="F127" s="1"/>
      <c r="G127" s="59"/>
      <c r="H127" s="1"/>
      <c r="I127" s="1"/>
    </row>
    <row r="128" spans="1:9" ht="12.95" customHeight="1" x14ac:dyDescent="0.25">
      <c r="F128" s="1"/>
      <c r="G128" s="59"/>
      <c r="H128" s="1"/>
      <c r="I128" s="1"/>
    </row>
    <row r="129" spans="6:9" ht="12.95" customHeight="1" x14ac:dyDescent="0.25">
      <c r="F129" s="1"/>
      <c r="G129" s="59"/>
      <c r="H129" s="1"/>
      <c r="I129" s="1"/>
    </row>
    <row r="130" spans="6:9" ht="12.95" customHeight="1" x14ac:dyDescent="0.25">
      <c r="F130" s="1"/>
      <c r="G130" s="59"/>
      <c r="H130" s="1"/>
      <c r="I130" s="1"/>
    </row>
    <row r="131" spans="6:9" ht="12.95" customHeight="1" x14ac:dyDescent="0.25">
      <c r="F131" s="1"/>
      <c r="G131" s="59"/>
      <c r="H131" s="1"/>
      <c r="I131" s="1"/>
    </row>
    <row r="132" spans="6:9" ht="12.95" customHeight="1" x14ac:dyDescent="0.25">
      <c r="F132" s="1"/>
      <c r="G132" s="59"/>
      <c r="H132" s="1"/>
      <c r="I132" s="1"/>
    </row>
    <row r="133" spans="6:9" ht="12.95" customHeight="1" x14ac:dyDescent="0.25">
      <c r="F133" s="1"/>
      <c r="G133" s="59"/>
      <c r="H133" s="1"/>
      <c r="I133" s="1"/>
    </row>
    <row r="134" spans="6:9" ht="12.95" customHeight="1" x14ac:dyDescent="0.25">
      <c r="F134" s="1"/>
      <c r="G134" s="59"/>
      <c r="H134" s="1"/>
      <c r="I134" s="1"/>
    </row>
    <row r="135" spans="6:9" ht="12.95" customHeight="1" x14ac:dyDescent="0.25">
      <c r="F135" s="1"/>
      <c r="G135" s="59"/>
      <c r="H135" s="1"/>
      <c r="I135" s="1"/>
    </row>
    <row r="136" spans="6:9" ht="12.95" customHeight="1" x14ac:dyDescent="0.25">
      <c r="F136" s="1"/>
      <c r="G136" s="59"/>
      <c r="H136" s="1"/>
      <c r="I136" s="1"/>
    </row>
    <row r="137" spans="6:9" ht="12.95" customHeight="1" x14ac:dyDescent="0.25">
      <c r="F137" s="1"/>
      <c r="G137" s="59"/>
      <c r="H137" s="1"/>
      <c r="I137" s="1"/>
    </row>
    <row r="138" spans="6:9" ht="12.95" customHeight="1" x14ac:dyDescent="0.25">
      <c r="F138" s="1"/>
      <c r="G138" s="59"/>
      <c r="H138" s="1"/>
      <c r="I138" s="1"/>
    </row>
    <row r="139" spans="6:9" ht="12.95" customHeight="1" x14ac:dyDescent="0.25">
      <c r="F139" s="1"/>
      <c r="G139" s="59"/>
      <c r="H139" s="1"/>
      <c r="I139" s="1"/>
    </row>
    <row r="140" spans="6:9" ht="12.95" customHeight="1" x14ac:dyDescent="0.25">
      <c r="F140" s="1"/>
      <c r="G140" s="59"/>
      <c r="H140" s="1"/>
      <c r="I140" s="1"/>
    </row>
    <row r="141" spans="6:9" ht="12.95" customHeight="1" x14ac:dyDescent="0.25">
      <c r="F141" s="1"/>
      <c r="G141" s="59"/>
      <c r="H141" s="1"/>
      <c r="I141" s="1"/>
    </row>
    <row r="142" spans="6:9" ht="12.95" customHeight="1" x14ac:dyDescent="0.25">
      <c r="F142" s="1"/>
      <c r="G142" s="59"/>
      <c r="H142" s="1"/>
      <c r="I142" s="1"/>
    </row>
    <row r="143" spans="6:9" ht="12.95" customHeight="1" x14ac:dyDescent="0.25">
      <c r="F143" s="1"/>
      <c r="G143" s="59"/>
      <c r="H143" s="1"/>
      <c r="I143" s="1"/>
    </row>
    <row r="144" spans="6:9" ht="12.95" customHeight="1" x14ac:dyDescent="0.25">
      <c r="F144" s="1"/>
      <c r="G144" s="59"/>
      <c r="H144" s="1"/>
      <c r="I144" s="1"/>
    </row>
    <row r="145" spans="6:9" ht="12.95" customHeight="1" x14ac:dyDescent="0.25">
      <c r="F145" s="1"/>
      <c r="G145" s="59"/>
      <c r="H145" s="1"/>
      <c r="I145" s="1"/>
    </row>
    <row r="146" spans="6:9" ht="12.95" customHeight="1" x14ac:dyDescent="0.25">
      <c r="F146" s="1"/>
      <c r="G146" s="59"/>
      <c r="H146" s="1"/>
      <c r="I146" s="1"/>
    </row>
    <row r="147" spans="6:9" ht="12.95" customHeight="1" x14ac:dyDescent="0.25">
      <c r="F147" s="1"/>
      <c r="G147" s="59"/>
      <c r="H147" s="1"/>
      <c r="I147" s="1"/>
    </row>
    <row r="148" spans="6:9" ht="12.95" customHeight="1" x14ac:dyDescent="0.25">
      <c r="F148" s="1"/>
      <c r="G148" s="59"/>
      <c r="H148" s="1"/>
      <c r="I148" s="1"/>
    </row>
    <row r="149" spans="6:9" ht="12.95" customHeight="1" x14ac:dyDescent="0.25">
      <c r="F149" s="1"/>
      <c r="G149" s="59"/>
      <c r="H149" s="1"/>
      <c r="I149" s="1"/>
    </row>
    <row r="150" spans="6:9" ht="12.95" customHeight="1" x14ac:dyDescent="0.25">
      <c r="F150" s="1"/>
      <c r="G150" s="59"/>
      <c r="H150" s="1"/>
      <c r="I150" s="1"/>
    </row>
    <row r="151" spans="6:9" ht="12.95" customHeight="1" x14ac:dyDescent="0.25">
      <c r="F151" s="1"/>
      <c r="G151" s="59"/>
      <c r="H151" s="1"/>
      <c r="I151" s="1"/>
    </row>
    <row r="152" spans="6:9" ht="12.95" customHeight="1" x14ac:dyDescent="0.25">
      <c r="F152" s="1"/>
      <c r="G152" s="59"/>
      <c r="H152" s="1"/>
      <c r="I152" s="1"/>
    </row>
    <row r="153" spans="6:9" ht="12.95" customHeight="1" x14ac:dyDescent="0.25">
      <c r="F153" s="1"/>
      <c r="G153" s="59"/>
      <c r="H153" s="1"/>
      <c r="I153" s="1"/>
    </row>
    <row r="154" spans="6:9" ht="12.95" customHeight="1" x14ac:dyDescent="0.25">
      <c r="F154" s="1"/>
      <c r="G154" s="59"/>
      <c r="H154" s="1"/>
      <c r="I154" s="1"/>
    </row>
    <row r="155" spans="6:9" ht="12.95" customHeight="1" x14ac:dyDescent="0.25">
      <c r="F155" s="1"/>
      <c r="G155" s="59"/>
      <c r="H155" s="1"/>
      <c r="I155" s="1"/>
    </row>
    <row r="156" spans="6:9" ht="12.95" customHeight="1" x14ac:dyDescent="0.25">
      <c r="F156" s="1"/>
      <c r="G156" s="59"/>
      <c r="H156" s="1"/>
      <c r="I156" s="1"/>
    </row>
    <row r="157" spans="6:9" ht="12.95" customHeight="1" x14ac:dyDescent="0.25">
      <c r="F157" s="1"/>
      <c r="G157" s="59"/>
      <c r="H157" s="1"/>
      <c r="I157" s="1"/>
    </row>
    <row r="158" spans="6:9" ht="12.95" customHeight="1" x14ac:dyDescent="0.25">
      <c r="F158" s="1"/>
      <c r="G158" s="59"/>
      <c r="H158" s="1"/>
      <c r="I158" s="1"/>
    </row>
    <row r="159" spans="6:9" ht="12.95" customHeight="1" x14ac:dyDescent="0.25">
      <c r="F159" s="1"/>
      <c r="G159" s="59"/>
      <c r="H159" s="1"/>
      <c r="I159" s="1"/>
    </row>
    <row r="160" spans="6:9" ht="12.95" customHeight="1" x14ac:dyDescent="0.25">
      <c r="F160" s="1"/>
      <c r="G160" s="59"/>
      <c r="H160" s="1"/>
      <c r="I160" s="1"/>
    </row>
    <row r="161" spans="6:9" ht="12.95" customHeight="1" x14ac:dyDescent="0.25">
      <c r="F161" s="1"/>
      <c r="G161" s="59"/>
      <c r="H161" s="1"/>
      <c r="I161" s="1"/>
    </row>
    <row r="162" spans="6:9" ht="12.95" customHeight="1" x14ac:dyDescent="0.25">
      <c r="F162" s="1"/>
      <c r="G162" s="59"/>
      <c r="H162" s="1"/>
      <c r="I162" s="1"/>
    </row>
    <row r="163" spans="6:9" ht="12.95" customHeight="1" x14ac:dyDescent="0.25">
      <c r="F163" s="1"/>
      <c r="G163" s="59"/>
      <c r="H163" s="1"/>
      <c r="I163" s="1"/>
    </row>
    <row r="164" spans="6:9" ht="12.95" customHeight="1" x14ac:dyDescent="0.25">
      <c r="F164" s="1"/>
      <c r="G164" s="59"/>
      <c r="H164" s="1"/>
      <c r="I164" s="1"/>
    </row>
    <row r="165" spans="6:9" ht="12.95" customHeight="1" x14ac:dyDescent="0.25">
      <c r="F165" s="1"/>
      <c r="G165" s="59"/>
      <c r="H165" s="1"/>
      <c r="I165" s="1"/>
    </row>
    <row r="166" spans="6:9" ht="12.95" customHeight="1" x14ac:dyDescent="0.25">
      <c r="F166" s="1"/>
      <c r="G166" s="59"/>
      <c r="H166" s="1"/>
      <c r="I166" s="1"/>
    </row>
    <row r="167" spans="6:9" ht="12.95" customHeight="1" x14ac:dyDescent="0.25">
      <c r="F167" s="1"/>
      <c r="G167" s="59"/>
      <c r="H167" s="1"/>
      <c r="I167" s="1"/>
    </row>
    <row r="168" spans="6:9" ht="12.95" customHeight="1" x14ac:dyDescent="0.25">
      <c r="F168" s="1"/>
      <c r="G168" s="59"/>
      <c r="H168" s="1"/>
      <c r="I168" s="1"/>
    </row>
    <row r="169" spans="6:9" ht="12.95" customHeight="1" x14ac:dyDescent="0.25">
      <c r="F169" s="1"/>
      <c r="G169" s="59"/>
      <c r="H169" s="1"/>
      <c r="I169" s="1"/>
    </row>
    <row r="170" spans="6:9" ht="12.95" customHeight="1" x14ac:dyDescent="0.25">
      <c r="F170" s="1"/>
      <c r="G170" s="59"/>
      <c r="H170" s="1"/>
      <c r="I170" s="1"/>
    </row>
    <row r="171" spans="6:9" ht="12.95" customHeight="1" x14ac:dyDescent="0.25">
      <c r="F171" s="1"/>
      <c r="G171" s="59"/>
      <c r="H171" s="1"/>
      <c r="I171" s="1"/>
    </row>
    <row r="172" spans="6:9" ht="12.95" customHeight="1" x14ac:dyDescent="0.25">
      <c r="F172" s="1"/>
      <c r="G172" s="59"/>
      <c r="H172" s="1"/>
      <c r="I172" s="1"/>
    </row>
  </sheetData>
  <mergeCells count="12">
    <mergeCell ref="B56:E56"/>
    <mergeCell ref="C57:E57"/>
    <mergeCell ref="B1:E1"/>
    <mergeCell ref="A1:A2"/>
    <mergeCell ref="B2:E2"/>
    <mergeCell ref="B55:E55"/>
    <mergeCell ref="A3:E3"/>
    <mergeCell ref="A4:E4"/>
    <mergeCell ref="A5:E5"/>
    <mergeCell ref="A6:E6"/>
    <mergeCell ref="A7:E7"/>
    <mergeCell ref="B54:E54"/>
  </mergeCells>
  <pageMargins left="0.67" right="0.2" top="0.16" bottom="0.24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2"/>
  <sheetViews>
    <sheetView topLeftCell="A7" zoomScaleSheetLayoutView="112" workbookViewId="0">
      <selection activeCell="D20" sqref="D20"/>
    </sheetView>
  </sheetViews>
  <sheetFormatPr defaultRowHeight="15" x14ac:dyDescent="0.25"/>
  <cols>
    <col min="1" max="1" width="26.140625" bestFit="1" customWidth="1"/>
    <col min="2" max="2" width="15.28515625" style="3" bestFit="1" customWidth="1"/>
    <col min="3" max="3" width="12" bestFit="1" customWidth="1"/>
    <col min="4" max="4" width="13.28515625" bestFit="1" customWidth="1"/>
    <col min="8" max="9" width="15.28515625" bestFit="1" customWidth="1"/>
  </cols>
  <sheetData>
    <row r="1" spans="1:9" x14ac:dyDescent="0.25">
      <c r="A1" s="4" t="s">
        <v>66</v>
      </c>
      <c r="B1" s="5"/>
      <c r="C1" s="4"/>
    </row>
    <row r="2" spans="1:9" x14ac:dyDescent="0.25">
      <c r="A2" s="7" t="s">
        <v>69</v>
      </c>
      <c r="B2" s="8"/>
      <c r="C2" s="58">
        <f>B3/B4</f>
        <v>0.48905325443788061</v>
      </c>
      <c r="D2" s="10"/>
    </row>
    <row r="3" spans="1:9" x14ac:dyDescent="0.25">
      <c r="A3" s="4" t="s">
        <v>67</v>
      </c>
      <c r="B3" s="5">
        <f>(Poush!C47*1000)/6*12</f>
        <v>495900.00000001094</v>
      </c>
      <c r="C3" s="6"/>
      <c r="D3" s="46">
        <f>Poush!C47</f>
        <v>247.95000000000545</v>
      </c>
    </row>
    <row r="4" spans="1:9" x14ac:dyDescent="0.25">
      <c r="A4" s="4" t="s">
        <v>68</v>
      </c>
      <c r="B4" s="5">
        <f>Poush!C10*10</f>
        <v>1014000</v>
      </c>
      <c r="C4" s="4"/>
    </row>
    <row r="5" spans="1:9" x14ac:dyDescent="0.25">
      <c r="A5" s="4"/>
      <c r="B5" s="5"/>
      <c r="C5" s="4"/>
    </row>
    <row r="6" spans="1:9" x14ac:dyDescent="0.25">
      <c r="A6" s="7" t="s">
        <v>70</v>
      </c>
      <c r="B6" s="8"/>
      <c r="C6" s="58">
        <f>B7/B8</f>
        <v>1803.4845735026825</v>
      </c>
    </row>
    <row r="7" spans="1:9" x14ac:dyDescent="0.25">
      <c r="A7" s="4" t="s">
        <v>71</v>
      </c>
      <c r="B7" s="61">
        <v>882</v>
      </c>
      <c r="C7" s="4"/>
    </row>
    <row r="8" spans="1:9" x14ac:dyDescent="0.25">
      <c r="A8" s="4" t="s">
        <v>72</v>
      </c>
      <c r="B8" s="5">
        <f>C2</f>
        <v>0.48905325443788061</v>
      </c>
      <c r="C8" s="4"/>
    </row>
    <row r="9" spans="1:9" x14ac:dyDescent="0.25">
      <c r="A9" s="4"/>
      <c r="B9" s="5"/>
      <c r="C9" s="4"/>
    </row>
    <row r="10" spans="1:9" x14ac:dyDescent="0.25">
      <c r="A10" s="7" t="s">
        <v>73</v>
      </c>
      <c r="B10" s="8"/>
      <c r="C10" s="45">
        <f>B13/B14</f>
        <v>0.12026535502958563</v>
      </c>
      <c r="D10" s="2">
        <f>C10*1000</f>
        <v>120.26535502958563</v>
      </c>
    </row>
    <row r="11" spans="1:9" x14ac:dyDescent="0.25">
      <c r="A11" s="4" t="s">
        <v>74</v>
      </c>
      <c r="B11" s="5">
        <f>Poush!C19</f>
        <v>1361683.0999999999</v>
      </c>
      <c r="C11" s="4"/>
    </row>
    <row r="12" spans="1:9" x14ac:dyDescent="0.25">
      <c r="A12" s="4" t="s">
        <v>75</v>
      </c>
      <c r="B12" s="5">
        <f>Poush!C13+Poush!C14+Poush!C18+Poush!C17</f>
        <v>1239734.03</v>
      </c>
      <c r="C12" s="4"/>
    </row>
    <row r="13" spans="1:9" x14ac:dyDescent="0.25">
      <c r="A13" s="4" t="s">
        <v>76</v>
      </c>
      <c r="B13" s="5">
        <f>B11-B12</f>
        <v>121949.06999999983</v>
      </c>
      <c r="C13" s="4"/>
    </row>
    <row r="14" spans="1:9" x14ac:dyDescent="0.25">
      <c r="A14" s="4" t="s">
        <v>77</v>
      </c>
      <c r="B14" s="5">
        <f>B4</f>
        <v>1014000</v>
      </c>
      <c r="C14" s="4"/>
    </row>
    <row r="15" spans="1:9" x14ac:dyDescent="0.25">
      <c r="A15" s="4"/>
      <c r="B15" s="5"/>
      <c r="C15" s="4"/>
    </row>
    <row r="16" spans="1:9" x14ac:dyDescent="0.25">
      <c r="A16" s="7" t="s">
        <v>78</v>
      </c>
      <c r="B16" s="8"/>
      <c r="C16" s="9">
        <f>B17/B18*1000</f>
        <v>1342.8827416173567</v>
      </c>
      <c r="H16" s="3">
        <v>82621085.507000014</v>
      </c>
      <c r="I16" s="3"/>
    </row>
    <row r="17" spans="1:9" x14ac:dyDescent="0.25">
      <c r="A17" s="4" t="s">
        <v>74</v>
      </c>
      <c r="B17" s="5">
        <f>Poush!C19</f>
        <v>1361683.0999999999</v>
      </c>
      <c r="C17" s="4"/>
      <c r="H17" s="3">
        <v>317142340.72000003</v>
      </c>
      <c r="I17" s="3"/>
    </row>
    <row r="18" spans="1:9" x14ac:dyDescent="0.25">
      <c r="A18" s="4" t="s">
        <v>79</v>
      </c>
      <c r="B18" s="5">
        <f>Poush!C10*10</f>
        <v>1014000</v>
      </c>
      <c r="C18" s="4"/>
      <c r="H18" s="3">
        <v>7928558.5180000011</v>
      </c>
      <c r="I18" s="3">
        <f>H16+H17-H18</f>
        <v>391834867.70900005</v>
      </c>
    </row>
    <row r="19" spans="1:9" x14ac:dyDescent="0.25">
      <c r="A19" s="4"/>
      <c r="B19" s="5"/>
      <c r="C19" s="4"/>
      <c r="H19" s="3">
        <v>74692526.989000008</v>
      </c>
      <c r="I19" s="3"/>
    </row>
    <row r="20" spans="1:9" x14ac:dyDescent="0.25">
      <c r="A20" s="7" t="s">
        <v>81</v>
      </c>
      <c r="B20" s="8"/>
      <c r="C20" s="7">
        <f>B21/B22</f>
        <v>0.1663392213106448</v>
      </c>
      <c r="D20" s="10">
        <f>C20*100</f>
        <v>16.63392213106448</v>
      </c>
      <c r="E20" s="10"/>
    </row>
    <row r="21" spans="1:9" x14ac:dyDescent="0.25">
      <c r="A21" s="4" t="s">
        <v>80</v>
      </c>
      <c r="B21" s="5">
        <f>Poush!C20+Poush!C21-6200000/1000</f>
        <v>52753.21</v>
      </c>
      <c r="C21" s="4"/>
      <c r="E21" s="10"/>
      <c r="F21" s="10"/>
    </row>
    <row r="22" spans="1:9" x14ac:dyDescent="0.25">
      <c r="A22" s="4" t="s">
        <v>112</v>
      </c>
      <c r="B22" s="5">
        <f>H17/1000</f>
        <v>317142.34072000004</v>
      </c>
      <c r="C22" s="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I9" sqref="I9"/>
    </sheetView>
  </sheetViews>
  <sheetFormatPr defaultColWidth="9.140625" defaultRowHeight="15" x14ac:dyDescent="0.25"/>
  <cols>
    <col min="1" max="1" width="22.140625" style="49" customWidth="1"/>
    <col min="2" max="2" width="9.140625" style="49"/>
    <col min="3" max="3" width="22.7109375" style="49" bestFit="1" customWidth="1"/>
    <col min="4" max="7" width="9.140625" style="49"/>
    <col min="8" max="8" width="14.42578125" style="49" bestFit="1" customWidth="1"/>
    <col min="9" max="16384" width="9.140625" style="49"/>
  </cols>
  <sheetData>
    <row r="1" spans="1:9" x14ac:dyDescent="0.25">
      <c r="A1" s="81" t="s">
        <v>85</v>
      </c>
      <c r="B1" s="81"/>
      <c r="C1" s="81"/>
    </row>
    <row r="2" spans="1:9" x14ac:dyDescent="0.25">
      <c r="A2" s="81" t="s">
        <v>86</v>
      </c>
      <c r="B2" s="81"/>
      <c r="C2" s="81"/>
    </row>
    <row r="3" spans="1:9" x14ac:dyDescent="0.25">
      <c r="A3" s="81" t="s">
        <v>103</v>
      </c>
      <c r="B3" s="81"/>
      <c r="C3" s="81"/>
      <c r="H3" s="50" t="s">
        <v>104</v>
      </c>
      <c r="I3" s="50"/>
    </row>
    <row r="4" spans="1:9" x14ac:dyDescent="0.25">
      <c r="A4" s="50" t="s">
        <v>87</v>
      </c>
      <c r="B4" s="50"/>
      <c r="C4" s="50" t="s">
        <v>88</v>
      </c>
      <c r="H4" s="50"/>
      <c r="I4" s="50"/>
    </row>
    <row r="5" spans="1:9" x14ac:dyDescent="0.25">
      <c r="A5" s="51" t="s">
        <v>89</v>
      </c>
      <c r="B5" s="50"/>
      <c r="C5" s="52">
        <v>11.13</v>
      </c>
      <c r="H5" s="50" t="s">
        <v>105</v>
      </c>
      <c r="I5" s="62">
        <f>E10</f>
        <v>10.638333333333334</v>
      </c>
    </row>
    <row r="6" spans="1:9" x14ac:dyDescent="0.25">
      <c r="A6" s="51" t="s">
        <v>90</v>
      </c>
      <c r="B6" s="50"/>
      <c r="C6" s="52">
        <v>10.79</v>
      </c>
      <c r="H6" s="50" t="s">
        <v>106</v>
      </c>
      <c r="I6" s="63">
        <v>7.0000000000000007E-2</v>
      </c>
    </row>
    <row r="7" spans="1:9" x14ac:dyDescent="0.25">
      <c r="A7" s="51" t="s">
        <v>91</v>
      </c>
      <c r="B7" s="50"/>
      <c r="C7" s="52">
        <v>9.5500000000000007</v>
      </c>
      <c r="D7" s="53">
        <f>C5+C6+C7</f>
        <v>31.470000000000002</v>
      </c>
      <c r="E7" s="53">
        <f>D7/3</f>
        <v>10.49</v>
      </c>
      <c r="H7" s="50" t="s">
        <v>107</v>
      </c>
      <c r="I7" s="63">
        <v>0.03</v>
      </c>
    </row>
    <row r="8" spans="1:9" x14ac:dyDescent="0.25">
      <c r="A8" s="51" t="s">
        <v>92</v>
      </c>
      <c r="B8" s="50"/>
      <c r="C8" s="52">
        <v>9.67</v>
      </c>
      <c r="E8" s="53"/>
      <c r="H8" s="50" t="s">
        <v>108</v>
      </c>
      <c r="I8" s="63">
        <v>7.47</v>
      </c>
    </row>
    <row r="9" spans="1:9" x14ac:dyDescent="0.25">
      <c r="A9" s="51" t="s">
        <v>93</v>
      </c>
      <c r="B9" s="50"/>
      <c r="C9" s="52">
        <v>9.69</v>
      </c>
      <c r="E9" s="54"/>
      <c r="H9" s="50" t="s">
        <v>109</v>
      </c>
      <c r="I9" s="64">
        <f>SUM(I5:I8)</f>
        <v>18.208333333333332</v>
      </c>
    </row>
    <row r="10" spans="1:9" x14ac:dyDescent="0.25">
      <c r="A10" s="51" t="s">
        <v>94</v>
      </c>
      <c r="B10" s="50"/>
      <c r="C10" s="52">
        <v>13</v>
      </c>
      <c r="D10" s="53">
        <f>C5+C6+C7+C8+C9+C10</f>
        <v>63.83</v>
      </c>
      <c r="E10" s="53">
        <f>D10/6</f>
        <v>10.638333333333334</v>
      </c>
    </row>
    <row r="11" spans="1:9" x14ac:dyDescent="0.25">
      <c r="A11" s="51" t="s">
        <v>95</v>
      </c>
      <c r="B11" s="50"/>
      <c r="C11" s="52"/>
    </row>
    <row r="12" spans="1:9" x14ac:dyDescent="0.25">
      <c r="A12" s="51" t="s">
        <v>96</v>
      </c>
      <c r="B12" s="50"/>
      <c r="C12" s="52"/>
    </row>
    <row r="13" spans="1:9" x14ac:dyDescent="0.25">
      <c r="A13" s="51" t="s">
        <v>97</v>
      </c>
      <c r="B13" s="50"/>
      <c r="C13" s="52"/>
      <c r="D13" s="53">
        <f>SUM(C5:C13)</f>
        <v>63.83</v>
      </c>
      <c r="E13" s="53">
        <f>D13/9</f>
        <v>7.0922222222222224</v>
      </c>
    </row>
    <row r="14" spans="1:9" x14ac:dyDescent="0.25">
      <c r="A14" s="51" t="s">
        <v>98</v>
      </c>
      <c r="B14" s="50"/>
      <c r="C14" s="52"/>
    </row>
    <row r="15" spans="1:9" x14ac:dyDescent="0.25">
      <c r="A15" s="51" t="s">
        <v>99</v>
      </c>
      <c r="B15" s="50"/>
      <c r="C15" s="52"/>
    </row>
    <row r="16" spans="1:9" x14ac:dyDescent="0.25">
      <c r="A16" s="51" t="s">
        <v>100</v>
      </c>
      <c r="B16" s="50"/>
      <c r="C16" s="52"/>
      <c r="D16" s="53">
        <f>SUM(C5:C16)</f>
        <v>63.83</v>
      </c>
      <c r="E16" s="53">
        <f>D16/12</f>
        <v>5.3191666666666668</v>
      </c>
    </row>
    <row r="17" spans="1:3" x14ac:dyDescent="0.25">
      <c r="A17" s="55" t="s">
        <v>101</v>
      </c>
      <c r="B17" s="50"/>
      <c r="C17" s="56">
        <f>SUM(C5:C16)</f>
        <v>63.83</v>
      </c>
    </row>
    <row r="18" spans="1:3" x14ac:dyDescent="0.25">
      <c r="A18" s="55" t="s">
        <v>87</v>
      </c>
      <c r="B18" s="57"/>
      <c r="C18" s="56">
        <v>12</v>
      </c>
    </row>
    <row r="19" spans="1:3" x14ac:dyDescent="0.25">
      <c r="A19" s="57" t="s">
        <v>102</v>
      </c>
      <c r="B19" s="57"/>
      <c r="C19" s="56">
        <f>C17/C18</f>
        <v>5.3191666666666668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Poush</vt:lpstr>
      <vt:lpstr>Ratio </vt:lpstr>
      <vt:lpstr>Cost of Fund </vt:lpstr>
      <vt:lpstr>Poush!Print_Area</vt:lpstr>
    </vt:vector>
  </TitlesOfParts>
  <Company>TEAM 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Niroj</cp:lastModifiedBy>
  <cp:lastPrinted>2023-02-01T07:38:36Z</cp:lastPrinted>
  <dcterms:created xsi:type="dcterms:W3CDTF">2019-04-19T05:27:29Z</dcterms:created>
  <dcterms:modified xsi:type="dcterms:W3CDTF">2023-02-09T07:01:24Z</dcterms:modified>
</cp:coreProperties>
</file>